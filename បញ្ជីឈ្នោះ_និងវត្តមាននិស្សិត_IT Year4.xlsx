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acbookpro/Desktop/"/>
    </mc:Choice>
  </mc:AlternateContent>
  <xr:revisionPtr revIDLastSave="0" documentId="13_ncr:1_{4B523D6E-D840-B448-A3FF-C8382F452D3A}" xr6:coauthVersionLast="47" xr6:coauthVersionMax="47" xr10:uidLastSave="{00000000-0000-0000-0000-000000000000}"/>
  <bookViews>
    <workbookView xWindow="3300" yWindow="620" windowWidth="24480" windowHeight="16100" tabRatio="890" activeTab="2" xr2:uid="{00000000-000D-0000-FFFF-FFFF00000000}"/>
  </bookViews>
  <sheets>
    <sheet name="ACCT" sheetId="10" state="hidden" r:id="rId1"/>
    <sheet name="MKT" sheetId="4" state="hidden" r:id="rId2"/>
    <sheet name="Sheet2" sheetId="114" r:id="rId3"/>
    <sheet name="Sheet1" sheetId="105" state="hidden" r:id="rId4"/>
    <sheet name="Sheet7" sheetId="109" state="hidden" r:id="rId5"/>
    <sheet name="Sheet3" sheetId="106" state="hidden" r:id="rId6"/>
    <sheet name="Sheet4" sheetId="107" state="hidden" r:id="rId7"/>
    <sheet name="Sheet5" sheetId="108" state="hidden" r:id="rId8"/>
    <sheet name="HRM" sheetId="5" state="hidden" r:id="rId9"/>
    <sheet name="B&amp;F" sheetId="18" state="hidden" r:id="rId10"/>
    <sheet name="RD" sheetId="1" state="hidden" r:id="rId11"/>
    <sheet name="Math" sheetId="19" state="hidden" r:id="rId12"/>
    <sheet name="IT" sheetId="33" state="hidden" r:id="rId13"/>
    <sheet name="AGR" sheetId="8" state="hidden" r:id="rId14"/>
    <sheet name="KHM" sheetId="17" state="hidden" r:id="rId15"/>
    <sheet name="Sheet6" sheetId="54" state="hidden" r:id="rId16"/>
    <sheet name="ENG" sheetId="6" state="hidden" r:id="rId17"/>
  </sheets>
  <definedNames>
    <definedName name="_xlnm._FilterDatabase" localSheetId="0" hidden="1">ACCT!$A$6:$L$6</definedName>
    <definedName name="_xlnm._FilterDatabase" localSheetId="13" hidden="1">AGR!$A$6:$K$15</definedName>
    <definedName name="_xlnm._FilterDatabase" localSheetId="16" hidden="1">ENG!$A$6:$L$8</definedName>
    <definedName name="_xlnm._FilterDatabase" localSheetId="10" hidden="1">RD!$A$6:$L$22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6" l="1"/>
  <c r="O30" i="6"/>
  <c r="D30" i="6"/>
  <c r="N24" i="6"/>
  <c r="O46" i="17"/>
  <c r="D40" i="17"/>
  <c r="D39" i="17"/>
  <c r="N33" i="17"/>
  <c r="O43" i="8"/>
  <c r="D43" i="8"/>
  <c r="D42" i="8"/>
  <c r="N36" i="8"/>
  <c r="D33" i="33"/>
  <c r="O32" i="33"/>
  <c r="D32" i="33"/>
  <c r="N25" i="33"/>
  <c r="O49" i="19"/>
  <c r="D36" i="19"/>
  <c r="D35" i="19"/>
  <c r="N29" i="19"/>
  <c r="O71" i="1"/>
  <c r="D58" i="1"/>
  <c r="D57" i="1"/>
  <c r="N51" i="1"/>
  <c r="O59" i="18"/>
  <c r="D43" i="18"/>
  <c r="D42" i="18"/>
  <c r="N35" i="18"/>
  <c r="O69" i="5"/>
  <c r="D50" i="5"/>
  <c r="D49" i="5"/>
  <c r="N43" i="5"/>
  <c r="O38" i="4"/>
  <c r="D31" i="4"/>
  <c r="D30" i="4"/>
  <c r="N24" i="4"/>
  <c r="O74" i="10"/>
  <c r="D43" i="10"/>
  <c r="D42" i="10"/>
  <c r="N36" i="10"/>
</calcChain>
</file>

<file path=xl/sharedStrings.xml><?xml version="1.0" encoding="utf-8"?>
<sst xmlns="http://schemas.openxmlformats.org/spreadsheetml/2006/main" count="2554" uniqueCount="1252">
  <si>
    <t>ព្រះរាជាណាចក្រកម្ពុជា</t>
  </si>
  <si>
    <t>ក្រសួងអប់រំ យុវជន និងកីឡា</t>
  </si>
  <si>
    <t>ជាតិ សាសនា ព្រះមហាក្សត្រ</t>
  </si>
  <si>
    <t>សាកលវិទ្យាល័យ ជា ស៊ីម កំចាយមារ</t>
  </si>
  <si>
    <t>បញ្ជីរាយនាមនិស្សិតថ្នាក់ឆ្នាំសិក្សាមូលដ្ឋាន​ ជំនាន់ទី ២៥</t>
  </si>
  <si>
    <t>ជំនាញ គណនេយ្យ (អាហារូបករណ៍) ឆ្នាំសិក្សា ២០១៩-២០២០</t>
  </si>
  <si>
    <t>ល.រ</t>
  </si>
  <si>
    <t>ID</t>
  </si>
  <si>
    <t>គោត្តនាម និងនាម</t>
  </si>
  <si>
    <t>ឡាតាំង</t>
  </si>
  <si>
    <t>ភេទ</t>
  </si>
  <si>
    <t>Sex</t>
  </si>
  <si>
    <t>ថ្ងៃខែឆ្នាំកំណើត</t>
  </si>
  <si>
    <t>Date of Birth</t>
  </si>
  <si>
    <t>មកពីវិទ្យាល័យ</t>
  </si>
  <si>
    <t>រាជធានី-ខេត្ត</t>
  </si>
  <si>
    <t>ឆ្នាំជាប់
សបបអ 
ទុតិយភូមិ</t>
  </si>
  <si>
    <t>លេខ
សបបអ
ទុតិយភូមិ</t>
  </si>
  <si>
    <t>លេខរៀងកន្នុងបញ្ជី</t>
  </si>
  <si>
    <t>ផ្សេងៗ</t>
  </si>
  <si>
    <t>លេខទូរស័ព្ទ</t>
  </si>
  <si>
    <t xml:space="preserve">កែវ ជ័យ </t>
  </si>
  <si>
    <t>KEO CHEY</t>
  </si>
  <si>
    <t>ប្រុស</t>
  </si>
  <si>
    <t>Male</t>
  </si>
  <si>
    <t>៣១-មិនា-២០០០</t>
  </si>
  <si>
    <t>31-March-2000</t>
  </si>
  <si>
    <t>ហស កំចាយមារ</t>
  </si>
  <si>
    <t>ព្រៃវែង</t>
  </si>
  <si>
    <t>បម្រុង</t>
  </si>
  <si>
    <t>061 710 235</t>
  </si>
  <si>
    <t>ខេង សុភ័ន</t>
  </si>
  <si>
    <t>KHENG  SOPHORN</t>
  </si>
  <si>
    <t>ស្រី</t>
  </si>
  <si>
    <t>Female</t>
  </si>
  <si>
    <t>២៦-កញ្ញា-២០០១</t>
  </si>
  <si>
    <t>26-September-2001</t>
  </si>
  <si>
    <t>ព្រះបាទនរោត្តម</t>
  </si>
  <si>
    <t>093 29 90 41</t>
  </si>
  <si>
    <t>ខ្នាន សុភា</t>
  </si>
  <si>
    <t>KHNAN SOPHEA</t>
  </si>
  <si>
    <t>១០-ឧសភា-២០០០</t>
  </si>
  <si>
    <t>10-May-2000</t>
  </si>
  <si>
    <t>ជាច</t>
  </si>
  <si>
    <t>088 73 65 404</t>
  </si>
  <si>
    <t>គង់ សម្ភ័ស</t>
  </si>
  <si>
    <t>KUNG SOMPHORS</t>
  </si>
  <si>
    <t>១៨-មករា-២០០០</t>
  </si>
  <si>
    <t>18-January-2000</t>
  </si>
  <si>
    <t>ព្រៃព្នៅ</t>
  </si>
  <si>
    <t>097 89 77 364</t>
  </si>
  <si>
    <t>ចន ស្រីនែត</t>
  </si>
  <si>
    <t>CHORN SREYNET</t>
  </si>
  <si>
    <t>០៤-កក្កដា-២០០២</t>
  </si>
  <si>
    <t>04-July-2002</t>
  </si>
  <si>
    <t>ហ.ស ស្វាយអន្ទរ</t>
  </si>
  <si>
    <t>097 65 73 466</t>
  </si>
  <si>
    <t>ជា សីហា</t>
  </si>
  <si>
    <t>CHEA SEYHA</t>
  </si>
  <si>
    <t>១២-សីហា-២០០១</t>
  </si>
  <si>
    <t>12-August-2001</t>
  </si>
  <si>
    <t>រមាសហែក</t>
  </si>
  <si>
    <t>ស្វាយរៀង</t>
  </si>
  <si>
    <t>088 47 12 212</t>
  </si>
  <si>
    <t>ជួប សុខនាង</t>
  </si>
  <si>
    <t>​CHOURB SOKNEANG</t>
  </si>
  <si>
    <t>២២-មិថុនា-២០០១</t>
  </si>
  <si>
    <t>22-June-2001</t>
  </si>
  <si>
    <t>ហ.​ស កំចាយមារ</t>
  </si>
  <si>
    <t>097 50 35 749</t>
  </si>
  <si>
    <t>ឈួន ស្រីល្លា</t>
  </si>
  <si>
    <t>CHHOUN SREYLA</t>
  </si>
  <si>
    <t>២៩-ឧសភា-២០០១</t>
  </si>
  <si>
    <t>29-May-2001</t>
  </si>
  <si>
    <t>ជីហែ</t>
  </si>
  <si>
    <t>កំពង់ចាម</t>
  </si>
  <si>
    <t>071 26 72 995</t>
  </si>
  <si>
    <t>ឈួន ស្រីឡែន</t>
  </si>
  <si>
    <t>CHHOUN SREYLEN</t>
  </si>
  <si>
    <t>071 34 47 271</t>
  </si>
  <si>
    <t>ណុច វិបុល</t>
  </si>
  <si>
    <t>NOCH VIBOL</t>
  </si>
  <si>
    <t>០៥-ឧសភា-២០០២</t>
  </si>
  <si>
    <t>05-May-2002</t>
  </si>
  <si>
    <t>ព្រះអង្គឌួង</t>
  </si>
  <si>
    <t>096 37 20 218</t>
  </si>
  <si>
    <t>ពិដាន លក្ម្ស៉ី</t>
  </si>
  <si>
    <t>PIDAN LEAKSMEY</t>
  </si>
  <si>
    <t>០១-វិច្ឆិកា-២០០៣</t>
  </si>
  <si>
    <t>01-November-2003</t>
  </si>
  <si>
    <t>ហ.ស កំចាយមារ</t>
  </si>
  <si>
    <t xml:space="preserve">087 38 81 68 </t>
  </si>
  <si>
    <t>ពុត​ សំរ៉ុង</t>
  </si>
  <si>
    <t>PUT SAMRONG</t>
  </si>
  <si>
    <t>០៥-កុម្ភៈ-២០០០</t>
  </si>
  <si>
    <t>05-February-2000</t>
  </si>
  <si>
    <t>097 28 74 766</t>
  </si>
  <si>
    <t>រិន សំណាង</t>
  </si>
  <si>
    <t>RIN SAMNANG</t>
  </si>
  <si>
    <t>០៣-មករា-២០០១</t>
  </si>
  <si>
    <t>03-January-2001</t>
  </si>
  <si>
    <t>097 57 38 907</t>
  </si>
  <si>
    <t>រីន ស្រីនីន</t>
  </si>
  <si>
    <t>RIN SREY NIN</t>
  </si>
  <si>
    <t>២៩-មេសា-២០០០</t>
  </si>
  <si>
    <t>29-April-2000</t>
  </si>
  <si>
    <t>088 87 20 668</t>
  </si>
  <si>
    <t>រឿន យ៉ាត</t>
  </si>
  <si>
    <t>ROEUN YEAT</t>
  </si>
  <si>
    <t>១៥-មេសា-២០០២</t>
  </si>
  <si>
    <t>15-April-2002</t>
  </si>
  <si>
    <t>ហ.ស​ កំចាយមារ</t>
  </si>
  <si>
    <t>097 420 5787</t>
  </si>
  <si>
    <t>លី សុខណេត</t>
  </si>
  <si>
    <t>LY SOKNETH</t>
  </si>
  <si>
    <t>១៥-កក្កដា-២០០១</t>
  </si>
  <si>
    <t>15-July-2001</t>
  </si>
  <si>
    <t>097 36 58 887</t>
  </si>
  <si>
    <t>លឹម​ សំណាង</t>
  </si>
  <si>
    <t>LOEM SAMNANG</t>
  </si>
  <si>
    <t>១៣-សីហា-២០០២</t>
  </si>
  <si>
    <t>13-August-2002</t>
  </si>
  <si>
    <t>088 73 875 62</t>
  </si>
  <si>
    <t>វ៉យ វ៉េវ</t>
  </si>
  <si>
    <t>VOY VEV</t>
  </si>
  <si>
    <t>០៥-មិថុនា-២០០១</t>
  </si>
  <si>
    <t>05-June-2001</t>
  </si>
  <si>
    <t>ច័ន្ទក្រឹស្នា</t>
  </si>
  <si>
    <t>069 59 26 68</t>
  </si>
  <si>
    <t>សាន់ សំណាង</t>
  </si>
  <si>
    <t>SANN SAMNANG</t>
  </si>
  <si>
    <t>០១-មេសា-២០០០</t>
  </si>
  <si>
    <t>01-April-2000</t>
  </si>
  <si>
    <t>មេសាង</t>
  </si>
  <si>
    <t>071 25 76 400</t>
  </si>
  <si>
    <t>សុខុម សំណាង</t>
  </si>
  <si>
    <t>SOKHOM SAMNANG</t>
  </si>
  <si>
    <t>០៨-មីនា-២០០១</t>
  </si>
  <si>
    <t>08-March-2001</t>
  </si>
  <si>
    <t>097 97 08 374</t>
  </si>
  <si>
    <t>ហឿន​ អាតា</t>
  </si>
  <si>
    <t>HOEUN  ATA</t>
  </si>
  <si>
    <t>២៩-ធ្នូ-២០០២</t>
  </si>
  <si>
    <t>29-December-2002</t>
  </si>
  <si>
    <t>088 57 94 162</t>
  </si>
  <si>
    <t>ឡុន មួយចេង</t>
  </si>
  <si>
    <t>LON  MOUY CHENG</t>
  </si>
  <si>
    <t>ជ.ស​  កណ្ដោលជ្រុំ</t>
  </si>
  <si>
    <t>ត្បូងឃ្មុំ</t>
  </si>
  <si>
    <t>097 65 79 266</t>
  </si>
  <si>
    <t>អ៊ិញ ស្រីណី</t>
  </si>
  <si>
    <t>INH SREY NEY</t>
  </si>
  <si>
    <t>១៥-ធ្នូ-២០០១</t>
  </si>
  <si>
    <t>15-December-2001</t>
  </si>
  <si>
    <t>ហ.ស ជ្រៃធំ</t>
  </si>
  <si>
    <t>097 96 97 807</t>
  </si>
  <si>
    <t>សន ស្រីនាង</t>
  </si>
  <si>
    <t>SORN SREYNEANG</t>
  </si>
  <si>
    <t>១៧-មីនា-២០០២</t>
  </si>
  <si>
    <t>17-March-2002</t>
  </si>
  <si>
    <t>097 43 54 382</t>
  </si>
  <si>
    <t>ទូច សង្ហា</t>
  </si>
  <si>
    <t>TOUCH SONGHA</t>
  </si>
  <si>
    <t>១៩-សីហា-២០០១</t>
  </si>
  <si>
    <t>19-August-2001</t>
  </si>
  <si>
    <t>097 8605691</t>
  </si>
  <si>
    <t>ឌីន ភីន</t>
  </si>
  <si>
    <t>DIN PHIN</t>
  </si>
  <si>
    <t>០៧-តុលា-២០០១</t>
  </si>
  <si>
    <t>07-October-2001</t>
  </si>
  <si>
    <t>ជស រក្សជ័យ</t>
  </si>
  <si>
    <t>016 36 48 93</t>
  </si>
  <si>
    <t>គ្មានពាក្យ</t>
  </si>
  <si>
    <t>បញ្ឈប់បញ្ជីត្រឹមចំនួន           នាក់ ក្នុងនោះស្រី          នាក់</t>
  </si>
  <si>
    <t>ថ្ងៃ                             ខែ            ឆ្នាំ ច សំរឹទ្ធិស័ក ព.ស ២៥៦២</t>
  </si>
  <si>
    <t>ធ្វើនៅកំចាយមារ. ថ្ងៃទី........ខែ.........ឆ្នាំ ២០១៨</t>
  </si>
  <si>
    <t>បានឃើញ និងឯកភាព</t>
  </si>
  <si>
    <t>ដេប៉ាតឺម៉ង់ថ្នាក់ឆ្នាំសិក្សាមូលដ្ឋាន</t>
  </si>
  <si>
    <t>ធ្វើនៅ................ថ្ងៃទី..........ខែ............ឆ្នាំ ២០១៨</t>
  </si>
  <si>
    <t>សាកលវិទ្យាធិការ</t>
  </si>
  <si>
    <t>សរុប</t>
  </si>
  <si>
    <t>ជំនាញ ទីផ្សារ (អាហារូបករណ៍) ឆ្នាំសិក្សា ២០១៨ - ២០១៩</t>
  </si>
  <si>
    <t>កន​ ដានី</t>
  </si>
  <si>
    <t>KORN DANY</t>
  </si>
  <si>
    <t>០៥-មករា-២០០០</t>
  </si>
  <si>
    <t>05-January-2000</t>
  </si>
  <si>
    <t>ហ.ស សំពៅពូន</t>
  </si>
  <si>
    <t>កណ្ដាល</t>
  </si>
  <si>
    <t>088 60 49 584</t>
  </si>
  <si>
    <t>ចុម បូរី</t>
  </si>
  <si>
    <t>CHOM BOREY</t>
  </si>
  <si>
    <t>០៨-ធ្នូ-២០០១</t>
  </si>
  <si>
    <t>08-December-2001</t>
  </si>
  <si>
    <t>ព្រះនរោត្ដមសហមុនី</t>
  </si>
  <si>
    <t>តាកែវ</t>
  </si>
  <si>
    <t>088 5555 635</t>
  </si>
  <si>
    <t>ឆុន ស្រីណុច</t>
  </si>
  <si>
    <t>CHHON SREY NOCH</t>
  </si>
  <si>
    <t>០៥-ធ្នូ-២០០០</t>
  </si>
  <si>
    <t>05-December-2000</t>
  </si>
  <si>
    <t>ហ.ស ខ្នារ</t>
  </si>
  <si>
    <t>088 37 37 827</t>
  </si>
  <si>
    <t>ធូ ផារី</t>
  </si>
  <si>
    <t>THOU PHARY</t>
  </si>
  <si>
    <t>១៣-មេសា-២០០០</t>
  </si>
  <si>
    <t>13-April-2000</t>
  </si>
  <si>
    <t>ជ.ស អំពិល</t>
  </si>
  <si>
    <t>១</t>
  </si>
  <si>
    <t>097 82 68 125</t>
  </si>
  <si>
    <t>ផល្លា ស្រីណុច</t>
  </si>
  <si>
    <t>PHALLA SREYNOCH</t>
  </si>
  <si>
    <t>១៣-កុម្ភៈ-២០០១</t>
  </si>
  <si>
    <t>13-Frebruary-2001</t>
  </si>
  <si>
    <t>088 82 01 548</t>
  </si>
  <si>
    <t>មឿន សារីត</t>
  </si>
  <si>
    <t>MOEURN SARIT</t>
  </si>
  <si>
    <t>១៩-មិថុនា-២០០១</t>
  </si>
  <si>
    <t>19-June-2001</t>
  </si>
  <si>
    <t>ទ័ពមានជ័យ</t>
  </si>
  <si>
    <t>កំពង់ស្ពឺ</t>
  </si>
  <si>
    <t>016 64 11 56</t>
  </si>
  <si>
    <t>យ៉​ន សុជាតា</t>
  </si>
  <si>
    <t>YOENG SOCHEATA</t>
  </si>
  <si>
    <t>២៦-កក្ដដា-២០០២</t>
  </si>
  <si>
    <t>26-July-2002</t>
  </si>
  <si>
    <t>សុខអាន ព្រៃសណ្ដែក</t>
  </si>
  <si>
    <t>097 91 53 960</t>
  </si>
  <si>
    <t>យ៉ឹង សុជាតិ</t>
  </si>
  <si>
    <t>YOENG SOCHEAT</t>
  </si>
  <si>
    <t>១៧-មិថុនា-២០០០</t>
  </si>
  <si>
    <t>17-June-2000</t>
  </si>
  <si>
    <t>098 32 87 53</t>
  </si>
  <si>
    <t>វ៉ន រ៉ូសា</t>
  </si>
  <si>
    <t>VORN ROSA</t>
  </si>
  <si>
    <t>០៥-មេសា-២០០២</t>
  </si>
  <si>
    <t>05-April-2002</t>
  </si>
  <si>
    <t xml:space="preserve"> ជស​ រក្សជ័យ</t>
  </si>
  <si>
    <t xml:space="preserve">069 21 22 25 </t>
  </si>
  <si>
    <t>វុទ្ធា ដាវី</t>
  </si>
  <si>
    <t>VUTHEA DAVY</t>
  </si>
  <si>
    <t>០៨-មិនា-២០០១</t>
  </si>
  <si>
    <t>098 83 00 95</t>
  </si>
  <si>
    <t>ហ៊ុន​ ឆេងគា</t>
  </si>
  <si>
    <t>HUN CHHANGKEA</t>
  </si>
  <si>
    <t>១១-ធ្នូ-២០០១</t>
  </si>
  <si>
    <t>11-December-2001</t>
  </si>
  <si>
    <t>096 91 81 465</t>
  </si>
  <si>
    <t>អាន សៀងឡេង</t>
  </si>
  <si>
    <t>AN SEANGLENG</t>
  </si>
  <si>
    <t>០៧-កក្កដា-២០០១</t>
  </si>
  <si>
    <t>07-July-2001</t>
  </si>
  <si>
    <t>ហ​.ស កំពង់លាវ</t>
  </si>
  <si>
    <t>១៦</t>
  </si>
  <si>
    <t>097 98 29 116</t>
  </si>
  <si>
    <t>total</t>
  </si>
  <si>
    <t>female</t>
  </si>
  <si>
    <t>សាកលវិទ្យាល័យជាតិជាស៊ីមកំចាយមារ</t>
  </si>
  <si>
    <t>ហ៊ុនសែនកំចាយមារ</t>
  </si>
  <si>
    <t>ហ៊ុនសែនស្វាយអន្ទរ</t>
  </si>
  <si>
    <t>ព្រះបាទនរោត្ដម</t>
  </si>
  <si>
    <t>បាភ្នំ</t>
  </si>
  <si>
    <t>កំពង់ធំ</t>
  </si>
  <si>
    <t>០៧-មេសា-២០០២</t>
  </si>
  <si>
    <t>០៧-សីហា-២០០២</t>
  </si>
  <si>
    <t>២១-មេសា-២០០១</t>
  </si>
  <si>
    <t>២៨-តុលា-២០០០</t>
  </si>
  <si>
    <t>១០-មេសា-២០០២</t>
  </si>
  <si>
    <t>រី ចំរើន</t>
  </si>
  <si>
    <t>ជំនាញ គ្រប់គ្រងធនធានមនុស្ស (អាហារូបករណ៍) ឆ្នាំសិក្សា ២០១៨ - ២០១៩</t>
  </si>
  <si>
    <t>ខាត់ សារ៉ា</t>
  </si>
  <si>
    <t>KHAT SARA</t>
  </si>
  <si>
    <t>០៤-មេសា-២០០១</t>
  </si>
  <si>
    <t>04-April-2001</t>
  </si>
  <si>
    <t>097 38 02 568</t>
  </si>
  <si>
    <t>គង់​​ ធារ៉ា</t>
  </si>
  <si>
    <t>KOUNG THEARA</t>
  </si>
  <si>
    <t>០៣-កក្កដា-១៩៩៨</t>
  </si>
  <si>
    <t>03-July-1998</t>
  </si>
  <si>
    <t>096 93 777 25</t>
  </si>
  <si>
    <t>គន់​ នីត</t>
  </si>
  <si>
    <t>KOUN NIT</t>
  </si>
  <si>
    <t>០២-ធ្នូ-២០០០</t>
  </si>
  <si>
    <t>02-December-2000</t>
  </si>
  <si>
    <t>097 85 35 001</t>
  </si>
  <si>
    <t>គឿន ធារី</t>
  </si>
  <si>
    <t>KOEUN THEARY</t>
  </si>
  <si>
    <t>២៤-ធ្នូ-២០០២</t>
  </si>
  <si>
    <t>24-December-2002</t>
  </si>
  <si>
    <t>088 84 92 549</t>
  </si>
  <si>
    <t>គ្រុត សែប</t>
  </si>
  <si>
    <t>KRUT SEAB</t>
  </si>
  <si>
    <t>០៩-សីហា-១៩៩៦</t>
  </si>
  <si>
    <t>09-August-1996</t>
  </si>
  <si>
    <t>ហ.ស ដារ</t>
  </si>
  <si>
    <t>097 66 95 524</t>
  </si>
  <si>
    <t>ជិន សុខឃី</t>
  </si>
  <si>
    <t>CHIN SOKHY</t>
  </si>
  <si>
    <t>១២-មេសា-២០០២</t>
  </si>
  <si>
    <t>12-April-2002</t>
  </si>
  <si>
    <t>088 86 52 752</t>
  </si>
  <si>
    <t>ញឹម ផានិត</t>
  </si>
  <si>
    <t>NHIM PHANET</t>
  </si>
  <si>
    <t>១៤-កក្កដា-២០០២</t>
  </si>
  <si>
    <t>14-July-2002</t>
  </si>
  <si>
    <t>096 49 35 702</t>
  </si>
  <si>
    <t>ណេង និមល</t>
  </si>
  <si>
    <t>NENG NIMOUL</t>
  </si>
  <si>
    <t>១១-វិច្ឆិកា-២០០១</t>
  </si>
  <si>
    <t>11-November-2001</t>
  </si>
  <si>
    <t>ហ.ស អង្គរស</t>
  </si>
  <si>
    <t>096 69 16 505</t>
  </si>
  <si>
    <t>ណៃ​ ណាក់</t>
  </si>
  <si>
    <t>NAI NAK</t>
  </si>
  <si>
    <t>០១-មករា-២០០១</t>
  </si>
  <si>
    <t>01-January-2001</t>
  </si>
  <si>
    <t>097 70 86 310</t>
  </si>
  <si>
    <t>តុល វីន</t>
  </si>
  <si>
    <t>TUL  VIN</t>
  </si>
  <si>
    <t>០៨-កញ្ញា-២០០០</t>
  </si>
  <si>
    <t>08-September-2000</t>
  </si>
  <si>
    <t>088 80 43 985</t>
  </si>
  <si>
    <t>ថា ធារ៉ា</t>
  </si>
  <si>
    <t>THA THEARA</t>
  </si>
  <si>
    <t>១៧-កក្កដា-២០០១</t>
  </si>
  <si>
    <t>17-July-2001</t>
  </si>
  <si>
    <t>088 28 73 596</t>
  </si>
  <si>
    <t>ទិត ណាគីម</t>
  </si>
  <si>
    <t>TIT NAKIM</t>
  </si>
  <si>
    <t>២១-កញ្ញា-១៩៩៩</t>
  </si>
  <si>
    <t>21-September-1999</t>
  </si>
  <si>
    <t>ប.ហ.ស. ដារ</t>
  </si>
  <si>
    <t>097 58 39 519</t>
  </si>
  <si>
    <t>ធល ចាន់ថន</t>
  </si>
  <si>
    <t>THOL CHAN THON</t>
  </si>
  <si>
    <t>០២-កុម្ភៈ-២០០១</t>
  </si>
  <si>
    <t>02-February-2001</t>
  </si>
  <si>
    <t>097 48 21 028</t>
  </si>
  <si>
    <t>ប៉ាត ចាន់ធា</t>
  </si>
  <si>
    <t>BAT CHAN THEA</t>
  </si>
  <si>
    <t>០៦-មីនា-២០០១</t>
  </si>
  <si>
    <t>06-Mrach-2001</t>
  </si>
  <si>
    <t>ប៊ុនថុង តុលា</t>
  </si>
  <si>
    <t>BUN TONG  TOLA</t>
  </si>
  <si>
    <t>១៩-មីនា-២០០១</t>
  </si>
  <si>
    <t>19-March-2001</t>
  </si>
  <si>
    <t>088 64 49 78</t>
  </si>
  <si>
    <t>ផាន​ រតនា</t>
  </si>
  <si>
    <t>PHAN RATANA</t>
  </si>
  <si>
    <t>0៧-មេសា-២០០៣</t>
  </si>
  <si>
    <t>07-April-2003</t>
  </si>
  <si>
    <t>ហ.ស កំពង់លាវ</t>
  </si>
  <si>
    <t>090 74 02 68</t>
  </si>
  <si>
    <t>ផុន​ ណាហុង</t>
  </si>
  <si>
    <t>PON NAHONG</t>
  </si>
  <si>
    <t>៣០-កញ្ញា-២០០០</t>
  </si>
  <si>
    <t>30-September-2000</t>
  </si>
  <si>
    <t>088 28 52 745</t>
  </si>
  <si>
    <t>ភុន សីហា</t>
  </si>
  <si>
    <t>PUN SEYHA</t>
  </si>
  <si>
    <t>០២-សីហា-២០០១</t>
  </si>
  <si>
    <t>02-August-2001</t>
  </si>
  <si>
    <t>ហ.ស​​ កំចាយមារ</t>
  </si>
  <si>
    <t xml:space="preserve">085 35 64 07 </t>
  </si>
  <si>
    <t>ភ័ណ្ឌ ភក្ដី</t>
  </si>
  <si>
    <t>PHEAN  PHEAKDEY</t>
  </si>
  <si>
    <t>០៩-ធ្នូ-២០០១</t>
  </si>
  <si>
    <t>09-December-2001</t>
  </si>
  <si>
    <t>071 94 04 542</t>
  </si>
  <si>
    <t>មឿន មករា</t>
  </si>
  <si>
    <t>MEUON MAKARA</t>
  </si>
  <si>
    <t>២៥-មករា-២០០១</t>
  </si>
  <si>
    <t>25-Janury-2001</t>
  </si>
  <si>
    <t>រ៉ា ធារី</t>
  </si>
  <si>
    <t>RA THEARY</t>
  </si>
  <si>
    <t>១០-មករា-២០០១</t>
  </si>
  <si>
    <t>10-January-2001</t>
  </si>
  <si>
    <t>088 65 20 058</t>
  </si>
  <si>
    <t>រ៉េត សាលីស</t>
  </si>
  <si>
    <t>RETH SALIS</t>
  </si>
  <si>
    <t>ហ.ស ពានរោង</t>
  </si>
  <si>
    <t>097 68 97 801</t>
  </si>
  <si>
    <t>រ៉ែត​ សុវណ្ណរើន</t>
  </si>
  <si>
    <t>RED SOVANREN</t>
  </si>
  <si>
    <t>០៧-តុលា-២០០២</t>
  </si>
  <si>
    <t>07-October-2002</t>
  </si>
  <si>
    <t>088 44 20 699</t>
  </si>
  <si>
    <t>រិត រ៉ាម៉ូ</t>
  </si>
  <si>
    <t>RIT RAMO</t>
  </si>
  <si>
    <t>០៧-ឧសភា-២០០១</t>
  </si>
  <si>
    <t>07-May-2001</t>
  </si>
  <si>
    <t>096 92 066 45</t>
  </si>
  <si>
    <t>រឿន ចាន់បូផា</t>
  </si>
  <si>
    <t>ROEUN  CHABOPHA</t>
  </si>
  <si>
    <t>១០-កុម្ភៈ-២០០១</t>
  </si>
  <si>
    <t>10-February-2001</t>
  </si>
  <si>
    <t>016 75 49 45</t>
  </si>
  <si>
    <t>លាង រស្មី</t>
  </si>
  <si>
    <t>LEANG RAKSMEY</t>
  </si>
  <si>
    <t>០១-មករា-២០០២</t>
  </si>
  <si>
    <t>01-January-2002</t>
  </si>
  <si>
    <t>ជ.ស រក្សជ័យ</t>
  </si>
  <si>
    <t>093 409 678</t>
  </si>
  <si>
    <t>លី សុភ័ក្ដ</t>
  </si>
  <si>
    <t>LY SOPHEAK</t>
  </si>
  <si>
    <t>១៣-មករា-២០០១</t>
  </si>
  <si>
    <t>13-January-2001</t>
  </si>
  <si>
    <t>088 255 93 60</t>
  </si>
  <si>
    <t>សាន បូរ៉ា</t>
  </si>
  <si>
    <t>SAN BORA</t>
  </si>
  <si>
    <t>១០-មករា-២០០៣</t>
  </si>
  <si>
    <t>10-January-2003</t>
  </si>
  <si>
    <t>088 22 75 755</t>
  </si>
  <si>
    <t>សុន ឡាយ</t>
  </si>
  <si>
    <t>SON LAY</t>
  </si>
  <si>
    <t>10-April-2002</t>
  </si>
  <si>
    <t>097 29 38 615</t>
  </si>
  <si>
    <t>សុផាត​ មនោរា</t>
  </si>
  <si>
    <t>SOPHAT MNOREA</t>
  </si>
  <si>
    <t>១៥-មិថុនា-២០០២</t>
  </si>
  <si>
    <t>15-June-2002</t>
  </si>
  <si>
    <t>071 25 19 760</t>
  </si>
  <si>
    <t>ឡេក ចាន់ពេជ្រ</t>
  </si>
  <si>
    <t>LEK CHANPIC</t>
  </si>
  <si>
    <t>២៥-ធ្នូ-២០០០</t>
  </si>
  <si>
    <t>25-September-2000</t>
  </si>
  <si>
    <t>ស.ក.ព.ម មហាលាភ</t>
  </si>
  <si>
    <t>097 692 87 87</t>
  </si>
  <si>
    <t>អាន់ នារដី</t>
  </si>
  <si>
    <t>ANN NEARDY</t>
  </si>
  <si>
    <t>២០-កញ្ញា-២០០០</t>
  </si>
  <si>
    <t>20-September-2000</t>
  </si>
  <si>
    <t>096 48 57 745</t>
  </si>
  <si>
    <t>អំ សុខ ស្រីអូន</t>
  </si>
  <si>
    <t>OM SOK SREY OUN</t>
  </si>
  <si>
    <t>០៦-មេសា-២០០១</t>
  </si>
  <si>
    <t>06-April-2001</t>
  </si>
  <si>
    <t>088 61 96 412</t>
  </si>
  <si>
    <t>ជំនាញ  ធនាគារ និង​ ហិរញ្ញវត្ថុ(អាហារូបករណ៍) ឆ្នាំសិក្សា ២០១៨ - ២០១៩</t>
  </si>
  <si>
    <t>ខៀវ សារ៉ង</t>
  </si>
  <si>
    <t>KHIEV SARORNG</t>
  </si>
  <si>
    <t>១៩-មិថុនា-២០០០</t>
  </si>
  <si>
    <t>097 97 19 482</t>
  </si>
  <si>
    <t>ឃន់ ផល្លា</t>
  </si>
  <si>
    <t>KHORN PHALLA</t>
  </si>
  <si>
    <t>២៥-ធ្នូ-២០០២</t>
  </si>
  <si>
    <t>ងួន​ ស្រីកា</t>
  </si>
  <si>
    <t>NGOUN SREY KA</t>
  </si>
  <si>
    <t>២៦-កុម្ពៈ-២០០១</t>
  </si>
  <si>
    <t>ពន្លកខ្មែរ</t>
  </si>
  <si>
    <t>បន្ទាយមានជ័យ</t>
  </si>
  <si>
    <t>017 96 46 46</t>
  </si>
  <si>
    <t>ចិន ស្រីស្រួច</t>
  </si>
  <si>
    <t>CHIN SREYSRUCH</t>
  </si>
  <si>
    <t>097 50 48 554</t>
  </si>
  <si>
    <t>ជួន វិសាល</t>
  </si>
  <si>
    <t>CHUON VISAL</t>
  </si>
  <si>
    <t>០៧-មេសា-២០០០</t>
  </si>
  <si>
    <t>07-April-2000</t>
  </si>
  <si>
    <t>ហ.ស តាំងគោក</t>
  </si>
  <si>
    <t>096 661 51 56</t>
  </si>
  <si>
    <t>ធារី មុនី</t>
  </si>
  <si>
    <t>THEARY MONY</t>
  </si>
  <si>
    <t>០២-តុលា-២០០១</t>
  </si>
  <si>
    <t>ជ.ស កណ្ដោលជ្រុំ</t>
  </si>
  <si>
    <t>097 89 91 568</t>
  </si>
  <si>
    <t>ធឿន សោភ័ណ្ឌ</t>
  </si>
  <si>
    <t>THOUN SOAPHON</t>
  </si>
  <si>
    <t>០៤-មេសា-2001</t>
  </si>
  <si>
    <t>សម្តេសក្រុមព្រះមហាលាភ</t>
  </si>
  <si>
    <t>​​088 86 85 661</t>
  </si>
  <si>
    <t>THOEUN SORPHORN</t>
  </si>
  <si>
    <t>០៦-កញ្ញា-២០០១</t>
  </si>
  <si>
    <t>សម្តេចក្រុមព្រះមហាលាភ</t>
  </si>
  <si>
    <t>096 74 94 314</t>
  </si>
  <si>
    <t>ប៉ីន ចាន់រ៉ា</t>
  </si>
  <si>
    <t>BIN CHANRA</t>
  </si>
  <si>
    <t>១៦-ឧសភា-១៩៩៩</t>
  </si>
  <si>
    <t>088 56 97 073</t>
  </si>
  <si>
    <t xml:space="preserve">ពន ណារ៉េន </t>
  </si>
  <si>
    <t>POEN NAREN</t>
  </si>
  <si>
    <t>២១-មករា-២០០៣</t>
  </si>
  <si>
    <t>088 72 17 318</t>
  </si>
  <si>
    <t>ម៉ុន ស្រីនិច្ច</t>
  </si>
  <si>
    <t>MON SREY NICH</t>
  </si>
  <si>
    <t>០៨-កក្កដា-២០០១</t>
  </si>
  <si>
    <t>088 64 011 73</t>
  </si>
  <si>
    <t>រ៉េម សាម័យ</t>
  </si>
  <si>
    <t>REM SAMAI</t>
  </si>
  <si>
    <t>០៧-ឧសភា-១៩៩៨</t>
  </si>
  <si>
    <t>ប្រមូលព្រហ្ម</t>
  </si>
  <si>
    <t>096 34 34 250</t>
  </si>
  <si>
    <t>រឿន វណ្ណី</t>
  </si>
  <si>
    <t>ROEUN  VANNY</t>
  </si>
  <si>
    <t>១៧-កញ្ញា-២០០២</t>
  </si>
  <si>
    <t>17-september-2002</t>
  </si>
  <si>
    <t>097 555 076</t>
  </si>
  <si>
    <t>វ៉ន ស្រីមុំ</t>
  </si>
  <si>
    <t>VORN SREYMOM</t>
  </si>
  <si>
    <t>១០-កញ្ញា-២០០១</t>
  </si>
  <si>
    <t>សម្តេចតេជោហ៊ុន សែនសួង</t>
  </si>
  <si>
    <t>097 38 75 592</t>
  </si>
  <si>
    <t xml:space="preserve">វ៉ាត់ សុភ័ន </t>
  </si>
  <si>
    <t>VAT SOPHAN</t>
  </si>
  <si>
    <t>០១-កុម្ភៈ-២០០០</t>
  </si>
  <si>
    <t>071 34 29 008</t>
  </si>
  <si>
    <t>វ៉ាន់ ស្រីអាយ</t>
  </si>
  <si>
    <t>VANN SREY AY</t>
  </si>
  <si>
    <t>០១-មករា-១៩៩៨</t>
  </si>
  <si>
    <t>097 33 63 584</t>
  </si>
  <si>
    <t>ស សុភារ័ត្ន</t>
  </si>
  <si>
    <t xml:space="preserve">SOR SOPHEAROTH </t>
  </si>
  <si>
    <t>កំពង់សំរោង</t>
  </si>
  <si>
    <t>088 50 99 035</t>
  </si>
  <si>
    <t>សុកធា ធារី</t>
  </si>
  <si>
    <t>SOKTHEA THEARY</t>
  </si>
  <si>
    <t>១៤-ធ្នូ-២០០០</t>
  </si>
  <si>
    <t>14-December-2000</t>
  </si>
  <si>
    <t>ព្រះអង្កឌួង</t>
  </si>
  <si>
    <t>097 22 72 977</t>
  </si>
  <si>
    <t>សឿន រ៉ៃ</t>
  </si>
  <si>
    <t>SOEURN RAI</t>
  </si>
  <si>
    <t>១៣-សីហា-២០០០</t>
  </si>
  <si>
    <t>088 66 26 290</t>
  </si>
  <si>
    <t>ហ៊ាប ភក្ដី</t>
  </si>
  <si>
    <t>HEAB PHEAKDEY</t>
  </si>
  <si>
    <t>០៥-តុលា-១៩៩៩</t>
  </si>
  <si>
    <t>097 76 44 917</t>
  </si>
  <si>
    <t>ឡាំ ស៊ីថា</t>
  </si>
  <si>
    <t>LAM SITHA</t>
  </si>
  <si>
    <t>០៧-កញ្ញា-២០០១</t>
  </si>
  <si>
    <t>012 32 01 43</t>
  </si>
  <si>
    <t>អ៊ាន គឹមទី</t>
  </si>
  <si>
    <t>EAN KIMTY</t>
  </si>
  <si>
    <t>ហ.ស ភូមិថ្មី</t>
  </si>
  <si>
    <t>រតនគិរី</t>
  </si>
  <si>
    <t>060 41 41 30</t>
  </si>
  <si>
    <t>ស៊ឹម សុផែន</t>
  </si>
  <si>
    <t>SOME SOPHEN</t>
  </si>
  <si>
    <t>សម្តេចតេជោហ៊ុន សែន កំពង់ត្របែក</t>
  </si>
  <si>
    <t>បំរុង</t>
  </si>
  <si>
    <t>061 896494</t>
  </si>
  <si>
    <t>ជំនាញ អភិវឌ្ឍន៏ជនបទ (អាហារូបករណ៍) ឆ្នាំសិក្សា ២០១៨ - ២០១៩</t>
  </si>
  <si>
    <t>កេត ណារី</t>
  </si>
  <si>
    <t>KET NARY</t>
  </si>
  <si>
    <t>២៩-មេសា-២០០២</t>
  </si>
  <si>
    <t>29-April-2002</t>
  </si>
  <si>
    <t>088 20 54 498</t>
  </si>
  <si>
    <t>ខៀវ វាសនា</t>
  </si>
  <si>
    <t>KHIEV VEASNA</t>
  </si>
  <si>
    <t>០៩-សីហា-១៩៩៩</t>
  </si>
  <si>
    <t>09-August-1999</t>
  </si>
  <si>
    <t>071 3339041</t>
  </si>
  <si>
    <t>ខែម សុខឃន់</t>
  </si>
  <si>
    <t>KHEM SOKHORN</t>
  </si>
  <si>
    <t>០៩-សីហា-២០០២</t>
  </si>
  <si>
    <t>09-August-2002</t>
  </si>
  <si>
    <t>088 3654036</t>
  </si>
  <si>
    <t>គន់ តុងអឺ</t>
  </si>
  <si>
    <t>KUN TONG ER</t>
  </si>
  <si>
    <t>១១-កញ្ញា-២០០១</t>
  </si>
  <si>
    <t>11-August-2001</t>
  </si>
  <si>
    <t>097 9656232</t>
  </si>
  <si>
    <t>ឃន់ វណ្ណា</t>
  </si>
  <si>
    <t>KHORN VANNA</t>
  </si>
  <si>
    <t>១៨-សីហា-២០០១</t>
  </si>
  <si>
    <t>18-August-2001</t>
  </si>
  <si>
    <t>ហ៊ុនសែនអង្គសរ</t>
  </si>
  <si>
    <t>096 9873781</t>
  </si>
  <si>
    <t>ចយ ស្រីអូន</t>
  </si>
  <si>
    <t>CHOY SREYOUN</t>
  </si>
  <si>
    <t>៣០-វិច្ឆិកា-១៩៩៨</t>
  </si>
  <si>
    <t>30-November-1998</t>
  </si>
  <si>
    <t>096 580 16 40</t>
  </si>
  <si>
    <t>ចាន់នី ប្រស្នា</t>
  </si>
  <si>
    <t>CHANNY BRORSNA</t>
  </si>
  <si>
    <t>១២-វិច្ឆិកា-២០០១</t>
  </si>
  <si>
    <t>12-November-2001</t>
  </si>
  <si>
    <t>097 2507949</t>
  </si>
  <si>
    <t>ឆេង ស៊ុនហេង</t>
  </si>
  <si>
    <t>CHHENG SUNHENG</t>
  </si>
  <si>
    <t>ហ៊ុនសែនកំពង់ពពិល</t>
  </si>
  <si>
    <t>086 579994</t>
  </si>
  <si>
    <t>ឈីន ដាលីន</t>
  </si>
  <si>
    <t>CHHIN DALIN</t>
  </si>
  <si>
    <t>១០-តុលា-២០០០</t>
  </si>
  <si>
    <t>10-August-2000</t>
  </si>
  <si>
    <t>088 2840024</t>
  </si>
  <si>
    <t>ឈួន ដែន</t>
  </si>
  <si>
    <t>CHHUON DEN</t>
  </si>
  <si>
    <t>១៩-មករា-២០០២</t>
  </si>
  <si>
    <t>19-January-2002</t>
  </si>
  <si>
    <t>088 87 84 019</t>
  </si>
  <si>
    <t>ឌី ណារិត</t>
  </si>
  <si>
    <t>DY NARITH</t>
  </si>
  <si>
    <t>១៤-តុលា-១៩៩៩</t>
  </si>
  <si>
    <t>14-October-1999</t>
  </si>
  <si>
    <t>096 3928950</t>
  </si>
  <si>
    <t>ឌូ សុវណ្ណេត</t>
  </si>
  <si>
    <t>DOU SOVANNET</t>
  </si>
  <si>
    <t>១២-ធ្នូ-២០០០</t>
  </si>
  <si>
    <t>12-December-2000</t>
  </si>
  <si>
    <t>ចំណេះទូទៅនិងបច្ចេកទេសពួក</t>
  </si>
  <si>
    <t>សៀមរាប</t>
  </si>
  <si>
    <t>092 50 27 11</t>
  </si>
  <si>
    <t>ណៃ ស្រីនីត</t>
  </si>
  <si>
    <t>NAI SREYNIT</t>
  </si>
  <si>
    <t>088 6155740</t>
  </si>
  <si>
    <t>តាញ់ សៅ</t>
  </si>
  <si>
    <t>TANH SAO</t>
  </si>
  <si>
    <t>១៩-ឧសភា-១៩៩៥</t>
  </si>
  <si>
    <t>19-May-1995</t>
  </si>
  <si>
    <t>អន្តេវាសិកដ្ឋានក្រុងបានលុង</t>
  </si>
  <si>
    <t>រតនគីរី</t>
  </si>
  <si>
    <t>088 8978960</t>
  </si>
  <si>
    <t>តាន់ ស្រីនិច</t>
  </si>
  <si>
    <t>TANN SREYNECH</t>
  </si>
  <si>
    <t>០៩-មិថុនា-២០០១</t>
  </si>
  <si>
    <t>09-June-2001</t>
  </si>
  <si>
    <t>ហ.ស​​ ឈូក</t>
  </si>
  <si>
    <t>កំពត</t>
  </si>
  <si>
    <t>096 23 14 077</t>
  </si>
  <si>
    <t xml:space="preserve">ថា សាមឿន </t>
  </si>
  <si>
    <t>THA SAMOEUN</t>
  </si>
  <si>
    <t>៣០-មេសា-១៩៩៧</t>
  </si>
  <si>
    <t>30-April-1997</t>
  </si>
  <si>
    <t>088 6469799</t>
  </si>
  <si>
    <t>ថុន ស្រីតូច</t>
  </si>
  <si>
    <t>THON SREYTOCH</t>
  </si>
  <si>
    <t>០២-មេសា-២០០០</t>
  </si>
  <si>
    <t>02-April-2000</t>
  </si>
  <si>
    <t>ហ៊ុនសែនតំបែរ</t>
  </si>
  <si>
    <t>088 3916745</t>
  </si>
  <si>
    <t>ទាង សុខ</t>
  </si>
  <si>
    <t>TEANG SOK</t>
  </si>
  <si>
    <t>១៥-សីហា-២០០០</t>
  </si>
  <si>
    <t>15-August-2000</t>
  </si>
  <si>
    <t>097 2169332</t>
  </si>
  <si>
    <t>ទេព វិសាល</t>
  </si>
  <si>
    <t>TEP VISAL</t>
  </si>
  <si>
    <t>០២-មេសា-២០០១</t>
  </si>
  <si>
    <t>02-April-2001</t>
  </si>
  <si>
    <t>097 80 85 251</t>
  </si>
  <si>
    <t>នឹម ខេមរា</t>
  </si>
  <si>
    <t>NEM KHEMMRA</t>
  </si>
  <si>
    <t>០៩-កុម្ភៈ-២០០០</t>
  </si>
  <si>
    <t>09-February-2000</t>
  </si>
  <si>
    <t>096 45 33 191</t>
  </si>
  <si>
    <t>ប៉ៃ​   យ៉ៃ</t>
  </si>
  <si>
    <t>PAI YAI</t>
  </si>
  <si>
    <t>១៤-មេសា-១៩៩៩</t>
  </si>
  <si>
    <t>14-April-1999</t>
  </si>
  <si>
    <t>ហ.ស ​ត្បែង</t>
  </si>
  <si>
    <t>088 55 02 755</t>
  </si>
  <si>
    <t>ប៊ី ខ្វាន់</t>
  </si>
  <si>
    <t>BI KHVANN</t>
  </si>
  <si>
    <t>០៧-សីហា-១៩៩៩</t>
  </si>
  <si>
    <t>07-August-1999</t>
  </si>
  <si>
    <t>088 37 16 343</t>
  </si>
  <si>
    <t>ប៊ុត ស្រីអួន</t>
  </si>
  <si>
    <t>BUTH SREY OURN</t>
  </si>
  <si>
    <t>០៤-កុម្ភៈ-២០០១</t>
  </si>
  <si>
    <t>04-February-2001</t>
  </si>
  <si>
    <t>088 8046163</t>
  </si>
  <si>
    <t>ភាន ចន្នី</t>
  </si>
  <si>
    <t>PHEAN CHANNY</t>
  </si>
  <si>
    <t>១២-កក្កដា-២០០២</t>
  </si>
  <si>
    <t>12-July-2002</t>
  </si>
  <si>
    <t>097 9653816</t>
  </si>
  <si>
    <t>មឿន ស្រីមុំ</t>
  </si>
  <si>
    <t>MOEURN SREYMOM</t>
  </si>
  <si>
    <t>១៩-កញ្ញា-២០០២</t>
  </si>
  <si>
    <t>19-September-2002</t>
  </si>
  <si>
    <t>097 8121879</t>
  </si>
  <si>
    <t>យ៉យ គន្ធី</t>
  </si>
  <si>
    <t>YOY KUNTHY</t>
  </si>
  <si>
    <t>១១-សីហា-២០០២</t>
  </si>
  <si>
    <t>11-August-2002</t>
  </si>
  <si>
    <t>088 4798750</t>
  </si>
  <si>
    <t>យ៉ុង ចំរើន</t>
  </si>
  <si>
    <t>YONG CHOM ROEUN</t>
  </si>
  <si>
    <t>១៦-វិច្ឆិកា-២០០០</t>
  </si>
  <si>
    <t>16-November-2000</t>
  </si>
  <si>
    <t>090 73 88 97</t>
  </si>
  <si>
    <t>យ៉ុង សំណាង</t>
  </si>
  <si>
    <t>YONG SAMNANG</t>
  </si>
  <si>
    <t>097 97 14 39</t>
  </si>
  <si>
    <t>លី សុខណា</t>
  </si>
  <si>
    <t>LY SOKNA</t>
  </si>
  <si>
    <t>07-August-2002</t>
  </si>
  <si>
    <t>088 32 26 337</t>
  </si>
  <si>
    <t>វ៉េន​ រដ្ធា</t>
  </si>
  <si>
    <t>VEN RORTHA</t>
  </si>
  <si>
    <t>១១-មេសា-២០០០</t>
  </si>
  <si>
    <t>11-April-2000</t>
  </si>
  <si>
    <t>093 96 04 36</t>
  </si>
  <si>
    <t>វាចារ ស្រីមុំ</t>
  </si>
  <si>
    <t>VEACHAR SREY MOM</t>
  </si>
  <si>
    <t>១៣-ធ្នូ-២០០១</t>
  </si>
  <si>
    <t>13-December-2001</t>
  </si>
  <si>
    <t>097 96 96 356</t>
  </si>
  <si>
    <t>សុង ពិសី</t>
  </si>
  <si>
    <t>SONG PISEY</t>
  </si>
  <si>
    <t>១៣-មីនា-២០០១</t>
  </si>
  <si>
    <t>13-March-2001</t>
  </si>
  <si>
    <t>096 2048584</t>
  </si>
  <si>
    <t>សៅ សំណាង</t>
  </si>
  <si>
    <t>SAO SOMNANG</t>
  </si>
  <si>
    <t>០៧-វិច្ឆិកា-២០០២</t>
  </si>
  <si>
    <t>07-November-2002</t>
  </si>
  <si>
    <t>ហ៊ុនសែនកំពង់រោទ៏</t>
  </si>
  <si>
    <t>097 7462433</t>
  </si>
  <si>
    <t>ហ៊ន ស៊ីឡែន</t>
  </si>
  <si>
    <t>HON SILEN</t>
  </si>
  <si>
    <t>១០-សីហា-2001</t>
  </si>
  <si>
    <t>10-August-2001</t>
  </si>
  <si>
    <t>088 4934638</t>
  </si>
  <si>
    <t>ឡៃ បញ្ញាលក្ខ</t>
  </si>
  <si>
    <t>LAI PANHALEAK</t>
  </si>
  <si>
    <t>២២-វិច្ឆិកា-២០០១</t>
  </si>
  <si>
    <t>22-November-2001</t>
  </si>
  <si>
    <t>089  72 07 24</t>
  </si>
  <si>
    <t>អន អម្មរា</t>
  </si>
  <si>
    <t>ON OMRA</t>
  </si>
  <si>
    <t>២៦-ធ្នូ-២០០១</t>
  </si>
  <si>
    <t>26-December-2001</t>
  </si>
  <si>
    <t>087 879917</t>
  </si>
  <si>
    <t>អ៊ូ ចាន់រី</t>
  </si>
  <si>
    <t>OU CHANREY</t>
  </si>
  <si>
    <t>097 8121897</t>
  </si>
  <si>
    <t>អេង លីសា</t>
  </si>
  <si>
    <t>ENG LISA</t>
  </si>
  <si>
    <t>097 63 26 432</t>
  </si>
  <si>
    <t>គា រិទ្ធី</t>
  </si>
  <si>
    <t>KEA RETHY</t>
  </si>
  <si>
    <t>០៣-សីហា-២០០២</t>
  </si>
  <si>
    <t>03-August-2002</t>
  </si>
  <si>
    <t>អ៊ិន សារិ</t>
  </si>
  <si>
    <t>IN SARIK</t>
  </si>
  <si>
    <t>១៨-មិថុនា-២០០០</t>
  </si>
  <si>
    <t>18-June-2000</t>
  </si>
  <si>
    <t>សម្តេចជាស៊ីមអំពិល</t>
  </si>
  <si>
    <t>097 9032662</t>
  </si>
  <si>
    <t>ណន វណ្ឌី</t>
  </si>
  <si>
    <t>NORN VANDY</t>
  </si>
  <si>
    <t>០៥-តុលា-២០០០</t>
  </si>
  <si>
    <t>05-October-2000</t>
  </si>
  <si>
    <t>081  97 12 87</t>
  </si>
  <si>
    <t>បញ្ជីរាយនាមនិស្សិតថ្នាក់ឆ្នាំសិក្សាមូលដ្ឋាន​ ជំនាន់ទី ០៣</t>
  </si>
  <si>
    <t>ជំនាញ គណិតវិទ្យា (អាហារូបករណ៍) ឆ្នាំសិក្សា ២០១៨ - ២០១៩</t>
  </si>
  <si>
    <t>ងួន​សំបូរ</t>
  </si>
  <si>
    <t>NGUON SOMBO</t>
  </si>
  <si>
    <t>28-October-2000</t>
  </si>
  <si>
    <t>ហ.ស​ ពាមរក៍</t>
  </si>
  <si>
    <t>096 78 255 45</t>
  </si>
  <si>
    <t>ឆាយ​ វ៉ាលីណាត់</t>
  </si>
  <si>
    <t>CHHAY VALYNATT</t>
  </si>
  <si>
    <t>០៥-ធ្នូ-២០០១</t>
  </si>
  <si>
    <t>05-December-2001</t>
  </si>
  <si>
    <t>097 80 40 827</t>
  </si>
  <si>
    <t>ឈឿន បូប្ផា</t>
  </si>
  <si>
    <t>CHHOEUN BOPHA</t>
  </si>
  <si>
    <t>១៣-កក្កដា-២០០១</t>
  </si>
  <si>
    <t>13-July-2001</t>
  </si>
  <si>
    <t>ហ.ស ស្នួល</t>
  </si>
  <si>
    <t>ក្រចេះ</t>
  </si>
  <si>
    <t>031  500 42 22</t>
  </si>
  <si>
    <t>ណូយ តូណា</t>
  </si>
  <si>
    <t>NOY TONA</t>
  </si>
  <si>
    <t>១៦-មេសា-២០០២</t>
  </si>
  <si>
    <t>16-April-2002</t>
  </si>
  <si>
    <t>088 54 04 923</t>
  </si>
  <si>
    <t>ប្រាក់ ផានិន</t>
  </si>
  <si>
    <t>PRAK PANIN</t>
  </si>
  <si>
    <t>៣១-កក្កដា-២០០២</t>
  </si>
  <si>
    <t>31-july-2002</t>
  </si>
  <si>
    <t>ជ.ស​ អំពិល</t>
  </si>
  <si>
    <t>088 63 025 08</t>
  </si>
  <si>
    <t>ព្រាប ឡែន</t>
  </si>
  <si>
    <t>PREAP LEN</t>
  </si>
  <si>
    <t>២០-កក្កដា-២០០១</t>
  </si>
  <si>
    <t>20-july-2001</t>
  </si>
  <si>
    <t>097 63 40 452</t>
  </si>
  <si>
    <t>ម៉ន ស្រីនាត</t>
  </si>
  <si>
    <t>MORN SREY NEATH</t>
  </si>
  <si>
    <t>០៥-កក្កដា-២០០០</t>
  </si>
  <si>
    <t>05-July-2000</t>
  </si>
  <si>
    <t>ស.ត.ស.ហ កំពង់ត្របែក</t>
  </si>
  <si>
    <t>096 76 49 518</t>
  </si>
  <si>
    <t>រិត ដឿន</t>
  </si>
  <si>
    <t>RITH DOEUN</t>
  </si>
  <si>
    <t>១៦-កុម្ភៈ-២០០២</t>
  </si>
  <si>
    <t>16-February-2002</t>
  </si>
  <si>
    <t>081 86 33 98</t>
  </si>
  <si>
    <t>RY CHAMROEUN</t>
  </si>
  <si>
    <t>096 91 71 640</t>
  </si>
  <si>
    <t>ស៊ីណាត​ សុនុន</t>
  </si>
  <si>
    <t>SINAT SONOUN</t>
  </si>
  <si>
    <t>០១-កុម្ភៈ-២០០១</t>
  </si>
  <si>
    <t>01-February-2001</t>
  </si>
  <si>
    <t>ហ.ស តំបែរ</t>
  </si>
  <si>
    <t>088 41 74 850</t>
  </si>
  <si>
    <t>ហុក ពិសី</t>
  </si>
  <si>
    <t>HOK PISEY</t>
  </si>
  <si>
    <t>០៦-មេសា-២០០២</t>
  </si>
  <si>
    <t>06-April-2002</t>
  </si>
  <si>
    <t>ហ.ស ព្រែកសណ្ដែក</t>
  </si>
  <si>
    <t>097 29 29 333</t>
  </si>
  <si>
    <t>ឡូត លីដា</t>
  </si>
  <si>
    <t>LOTH LIDA</t>
  </si>
  <si>
    <t>០២-មករា-២០០០</t>
  </si>
  <si>
    <t>02-January-2000</t>
  </si>
  <si>
    <t>មេសរជ្រៃ</t>
  </si>
  <si>
    <t>096 63 61 751</t>
  </si>
  <si>
    <t>ឯម ទូចតុលា</t>
  </si>
  <si>
    <t>EM TOUCH TOLA</t>
  </si>
  <si>
    <t>២៤-តុលា-២០០១</t>
  </si>
  <si>
    <t>24-October-2001</t>
  </si>
  <si>
    <t>068 488 259</t>
  </si>
  <si>
    <t>អ៊ាម ខ្នេន</t>
  </si>
  <si>
    <t>EARM KHNEN</t>
  </si>
  <si>
    <t>០២-មេសា-១៩៩៩</t>
  </si>
  <si>
    <t>02-April-1999</t>
  </si>
  <si>
    <t>គោកដូង</t>
  </si>
  <si>
    <t>097 54 42 595</t>
  </si>
  <si>
    <t>អ៊ិត ស្រីអូន</t>
  </si>
  <si>
    <t>ETH SREY OUN</t>
  </si>
  <si>
    <t>០៥-មិថុនា-២០០០</t>
  </si>
  <si>
    <t>05-June-2000</t>
  </si>
  <si>
    <t>096 65 97 041</t>
  </si>
  <si>
    <t>total=</t>
  </si>
  <si>
    <t>female=</t>
  </si>
  <si>
    <t>ជំនាញ​​ ​ពត៌មានវិទ្យា (អាហារូបករណ៍) ឆ្នាំសិក្សា ២០១៨ - ២០១៩</t>
  </si>
  <si>
    <t>គា សំណាង</t>
  </si>
  <si>
    <t>KEA SAMNANG</t>
  </si>
  <si>
    <t>១៤-មករា-២០០២</t>
  </si>
  <si>
    <t>14-January-2002</t>
  </si>
  <si>
    <t>098 852023</t>
  </si>
  <si>
    <t>ចក់ រីម៉េត</t>
  </si>
  <si>
    <t>CHAK RIMET</t>
  </si>
  <si>
    <t>១៧-មេសា-២០០១</t>
  </si>
  <si>
    <t>17-April-2001</t>
  </si>
  <si>
    <t>សណ្តាន់</t>
  </si>
  <si>
    <t>088 2531942</t>
  </si>
  <si>
    <t>ចាន់ អូន</t>
  </si>
  <si>
    <t>CHAN AUN</t>
  </si>
  <si>
    <t>០៦-មេសា-១៩៩៧</t>
  </si>
  <si>
    <t>06-April-1997</t>
  </si>
  <si>
    <t>ប្រធាតុ</t>
  </si>
  <si>
    <t>081 685897</t>
  </si>
  <si>
    <t>ឆាន ស្បា</t>
  </si>
  <si>
    <t>CHHAN SBA</t>
  </si>
  <si>
    <t>07-September-2001</t>
  </si>
  <si>
    <t>088 9299487</t>
  </si>
  <si>
    <t>ធឿង បូណាវីន</t>
  </si>
  <si>
    <t>THOUENG BONAVIN</t>
  </si>
  <si>
    <t>២១-មករា-២០០១</t>
  </si>
  <si>
    <t>21-january-2001</t>
  </si>
  <si>
    <t>ហ.ស​ កពង់លាវ</t>
  </si>
  <si>
    <t>086 32 90 05</t>
  </si>
  <si>
    <t xml:space="preserve">មែ ម៉ុន </t>
  </si>
  <si>
    <t>ME MON</t>
  </si>
  <si>
    <t>១៤-កញ្ញា-១៩៩៩</t>
  </si>
  <si>
    <t>14-September-1999</t>
  </si>
  <si>
    <t>088 2583002</t>
  </si>
  <si>
    <t>រឿង សុខលីន</t>
  </si>
  <si>
    <t>ROEURNG SOKLIN</t>
  </si>
  <si>
    <t>២០-កញ្ញា-២០០១</t>
  </si>
  <si>
    <t>20-September-2001</t>
  </si>
  <si>
    <t>ហ.​ស កំពង់លាវ</t>
  </si>
  <si>
    <t>096  29 40 302</t>
  </si>
  <si>
    <t>097 3859298</t>
  </si>
  <si>
    <t>សំ សៀកឡាយ</t>
  </si>
  <si>
    <t>SAM SEAKLAY</t>
  </si>
  <si>
    <t>២៨-មីនា-២០០២</t>
  </si>
  <si>
    <t>28-March-2002</t>
  </si>
  <si>
    <t>088 3653857</t>
  </si>
  <si>
    <t>ហុន ពេជ</t>
  </si>
  <si>
    <t>HON PECH</t>
  </si>
  <si>
    <t>១០-កក្កដា-២០០២</t>
  </si>
  <si>
    <t>10-July-2002</t>
  </si>
  <si>
    <t>096 3293412</t>
  </si>
  <si>
    <t>ឡេង ស្រីតូច</t>
  </si>
  <si>
    <t>LENG SREYTOCH</t>
  </si>
  <si>
    <t>096 9399161</t>
  </si>
  <si>
    <t>ឡេង ស្រីធំ</t>
  </si>
  <si>
    <t>LENG SREYTHOM</t>
  </si>
  <si>
    <t>097 8447031</t>
  </si>
  <si>
    <t>អ៊ីន ​ស្រីតូច</t>
  </si>
  <si>
    <t>IN SREYTOCH</t>
  </si>
  <si>
    <t>ហ.ស​ ស្វាយអន្ទរ</t>
  </si>
  <si>
    <t>088 92 94 909</t>
  </si>
  <si>
    <t>សឿន ស្រីនិច</t>
  </si>
  <si>
    <t>SOUEN SREYNICH</t>
  </si>
  <si>
    <t>07-April-2002</t>
  </si>
  <si>
    <t>071 2225156</t>
  </si>
  <si>
    <t>ជំនាញ​​ ​ក្សេត្រសាស្រ្ត (អាហារូបករណ៍) ឆ្នាំសិក្សា ២០១៨ - ២០១៩</t>
  </si>
  <si>
    <t>កន ពុទ្រា</t>
  </si>
  <si>
    <t>KORN PUTREA</t>
  </si>
  <si>
    <t>០១-វិច្ឆិកា-២០០០</t>
  </si>
  <si>
    <t>01-November-2000</t>
  </si>
  <si>
    <t>097 2861761</t>
  </si>
  <si>
    <t>កន​ កេង</t>
  </si>
  <si>
    <t>KON KENG</t>
  </si>
  <si>
    <t>០៣-មិនា-២០០០</t>
  </si>
  <si>
    <t>03-March-2000</t>
  </si>
  <si>
    <t>ហ.ស​ ពានរោង</t>
  </si>
  <si>
    <t>088 83 24 200</t>
  </si>
  <si>
    <t>កែវ សាវត្តា</t>
  </si>
  <si>
    <t>KEO SAVADA</t>
  </si>
  <si>
    <t>០៥-ឧសភា-២០០១</t>
  </si>
  <si>
    <t>05-May-2001</t>
  </si>
  <si>
    <t>012 26 39 51</t>
  </si>
  <si>
    <t>ឃឹម វណ្ណៈ</t>
  </si>
  <si>
    <t>KHIM VANAK</t>
  </si>
  <si>
    <t>១៧-ឧសភា-២០០១</t>
  </si>
  <si>
    <t>17-May-2001</t>
  </si>
  <si>
    <t>011 84 43 28</t>
  </si>
  <si>
    <t>ចាប ស៊ីអូរ</t>
  </si>
  <si>
    <t>CHAB SIO</t>
  </si>
  <si>
    <t>១១-វិច្ឆិកា-១៩៩៩</t>
  </si>
  <si>
    <t>11-November-1999</t>
  </si>
  <si>
    <t>088 3659625</t>
  </si>
  <si>
    <t>ឆង ទិត</t>
  </si>
  <si>
    <t>CHHORNG TIT</t>
  </si>
  <si>
    <t>០១-មិនា-១៩៩៩</t>
  </si>
  <si>
    <t>01-March-1999</t>
  </si>
  <si>
    <t>088 8266113</t>
  </si>
  <si>
    <t>ឈន់ សុខហៀង</t>
  </si>
  <si>
    <t>CHHONN SOKHEANG</t>
  </si>
  <si>
    <t>០៩-កុម្ភៈ-២០០២</t>
  </si>
  <si>
    <t>09-February-2002</t>
  </si>
  <si>
    <t>097 9587626</t>
  </si>
  <si>
    <t>ថេត សុដាលីន</t>
  </si>
  <si>
    <t>THET SO DALIN</t>
  </si>
  <si>
    <t>០៩-កញ្ញា-២០០១</t>
  </si>
  <si>
    <t>09-september-2001</t>
  </si>
  <si>
    <t>081 66 23 58</t>
  </si>
  <si>
    <t>ធី សុខនាត</t>
  </si>
  <si>
    <t>THY SOKNEAT</t>
  </si>
  <si>
    <t>២៨-ឧសភា-២០០១</t>
  </si>
  <si>
    <t>28-May-2001</t>
  </si>
  <si>
    <t>097 5026437</t>
  </si>
  <si>
    <t>បឿន ស៊ីនុត</t>
  </si>
  <si>
    <t>BOEUN SINUT</t>
  </si>
  <si>
    <t>097 2498954</t>
  </si>
  <si>
    <t>ផៃ រដ្ឋា</t>
  </si>
  <si>
    <t>PAY ROTHA</t>
  </si>
  <si>
    <t>០៩-សីហា-២០០១</t>
  </si>
  <si>
    <t>09-August-2001</t>
  </si>
  <si>
    <t>096 74 96 294</t>
  </si>
  <si>
    <t>មន ចាន់ណេត</t>
  </si>
  <si>
    <t>MORN CHANNET</t>
  </si>
  <si>
    <t>២៩-មិនា-២០០០</t>
  </si>
  <si>
    <t>29-March-2000</t>
  </si>
  <si>
    <t>088 5667209</t>
  </si>
  <si>
    <t>ម៉ះ ផាន់នុត</t>
  </si>
  <si>
    <t>MAS PHANNUT</t>
  </si>
  <si>
    <t>081 72 90 94</t>
  </si>
  <si>
    <t>មាឌ សង្ហារ</t>
  </si>
  <si>
    <t>MEATH SANGHA</t>
  </si>
  <si>
    <t>០៨-កញ្ញា-២០០១</t>
  </si>
  <si>
    <t>08-September-2001</t>
  </si>
  <si>
    <t>097 8744910</t>
  </si>
  <si>
    <t>យ៉ង់ ចន្ថា</t>
  </si>
  <si>
    <t>YANG CHANTHA</t>
  </si>
  <si>
    <t>១៤-មិថុនា-១៩៩៩</t>
  </si>
  <si>
    <t>14-June-1999</t>
  </si>
  <si>
    <t>088 6712640</t>
  </si>
  <si>
    <t>រីន សំណាង</t>
  </si>
  <si>
    <t>១៨-មីនា-២០០២</t>
  </si>
  <si>
    <t>18-March-2002</t>
  </si>
  <si>
    <t>088 8023645</t>
  </si>
  <si>
    <t>រីន ហ៊ុយ</t>
  </si>
  <si>
    <t>RIN HUY</t>
  </si>
  <si>
    <t>៣០-មេសា-២០០១</t>
  </si>
  <si>
    <t>30-April-2001</t>
  </si>
  <si>
    <t>097 8715605</t>
  </si>
  <si>
    <t>រឹម ចំរើន</t>
  </si>
  <si>
    <t>REOM CHOMRERN</t>
  </si>
  <si>
    <t>097 36 400 49</t>
  </si>
  <si>
    <t>វី ពេជ្រ</t>
  </si>
  <si>
    <t>VY PICH</t>
  </si>
  <si>
    <t>១២-មករា-២០០១</t>
  </si>
  <si>
    <t>12-January-2001</t>
  </si>
  <si>
    <t>097 97 200 16</t>
  </si>
  <si>
    <t>ស៊ាន ណេត</t>
  </si>
  <si>
    <t>SIEN NAT</t>
  </si>
  <si>
    <t>២៥-កញ្ញា-២០០០</t>
  </si>
  <si>
    <t>088 8437051</t>
  </si>
  <si>
    <t>សាង​ ជិនណា</t>
  </si>
  <si>
    <t>SANG CHINNA</t>
  </si>
  <si>
    <t>១១-មិថុនា-២០០១</t>
  </si>
  <si>
    <t>11-June-2000</t>
  </si>
  <si>
    <t>ហ.ស រលាប្អៀរ</t>
  </si>
  <si>
    <t>កំពង់ឆ្នាំង</t>
  </si>
  <si>
    <t>097 64 999 02</t>
  </si>
  <si>
    <t>សុខ​ ចន្ធី</t>
  </si>
  <si>
    <t>SOK CHANTHY</t>
  </si>
  <si>
    <t>០២-កុម្ភៈ-២០០០</t>
  </si>
  <si>
    <t>02-February-2000</t>
  </si>
  <si>
    <t>097 65 87 074</t>
  </si>
  <si>
    <t>សួ រ៉ង</t>
  </si>
  <si>
    <t>SOUR RONG</t>
  </si>
  <si>
    <t>០៥ -មីនា-២០០៣</t>
  </si>
  <si>
    <t>05-March-2003</t>
  </si>
  <si>
    <t>088 38 26 081</t>
  </si>
  <si>
    <t>សំអូន ស្រីលីប</t>
  </si>
  <si>
    <t>SAMOUN SREYLIB</t>
  </si>
  <si>
    <t>០៤-សីហា-២០០១</t>
  </si>
  <si>
    <t>04-August-2001</t>
  </si>
  <si>
    <t>097 2680418</t>
  </si>
  <si>
    <t>ffemale=</t>
  </si>
  <si>
    <t>ជំនាញ  អក្សរសាស្ត្រខ្មែរ  (អាហារូបករណ៍) ឆ្នាំសិក្សា ២០១៩ - ២០២០</t>
  </si>
  <si>
    <t>គ្រួច ណារ៉ាក់</t>
  </si>
  <si>
    <t>KRUOCH NARAKK</t>
  </si>
  <si>
    <t>១២-កក្កដា-២០០១</t>
  </si>
  <si>
    <t>12-July-2001</t>
  </si>
  <si>
    <t>ហ៊ុន សែនកំពង់ត្របែក</t>
  </si>
  <si>
    <t>096 9654509</t>
  </si>
  <si>
    <t>ឃី សុភាន់</t>
  </si>
  <si>
    <t>KEY SOPHORN</t>
  </si>
  <si>
    <t>១៥-ធ្នូ-២០០០</t>
  </si>
  <si>
    <t>15-December-2000</t>
  </si>
  <si>
    <t>ជ.ស កំពង់ថ្ម</t>
  </si>
  <si>
    <t>38</t>
  </si>
  <si>
    <t>088 49 800 51</t>
  </si>
  <si>
    <t>ងួន ស្រីដែន</t>
  </si>
  <si>
    <t>១០-វិច្ឆិកា-១៩៩៩</t>
  </si>
  <si>
    <t>10-November-1999</t>
  </si>
  <si>
    <t>ហ៊ុនសែនកែវសីមា</t>
  </si>
  <si>
    <t>មណ្ឌលគីរី</t>
  </si>
  <si>
    <t>097 4064776</t>
  </si>
  <si>
    <t>ឆាន់ ម៉ាញ</t>
  </si>
  <si>
    <t>CHHANN MANH</t>
  </si>
  <si>
    <t>០៤-ឧសភា-១៩៩៩</t>
  </si>
  <si>
    <t>​ 6</t>
  </si>
  <si>
    <t>097 29 29  044</t>
  </si>
  <si>
    <t>ឈឺន ម៉េងស្រ៊ួ</t>
  </si>
  <si>
    <t>CHHEUN MENGSROUR</t>
  </si>
  <si>
    <t>15-May-2000</t>
  </si>
  <si>
    <t>16</t>
  </si>
  <si>
    <t>088 89 43 638</t>
  </si>
  <si>
    <t>ឌន់ តាំងលី</t>
  </si>
  <si>
    <t>០៥-មករា-២០០២</t>
  </si>
  <si>
    <t>05-January-2002</t>
  </si>
  <si>
    <t>097 5901443</t>
  </si>
  <si>
    <t>នី ស្រីរ័ត្ន</t>
  </si>
  <si>
    <t>មិត្តភាពខ្មែរជប៉ុន</t>
  </si>
  <si>
    <t>096 6771845</t>
  </si>
  <si>
    <t>ប៊ី ប៊ុនលាត</t>
  </si>
  <si>
    <t>០៦-កក្កដា-១៩៩៩</t>
  </si>
  <si>
    <t>06-July-1999</t>
  </si>
  <si>
    <t>088 8776360</t>
  </si>
  <si>
    <t>ភាង វាស្នា</t>
  </si>
  <si>
    <t>PHEANG VEASNA</t>
  </si>
  <si>
    <t>096 3762182</t>
  </si>
  <si>
    <t>ម៉ក់ ស្រីមុំ</t>
  </si>
  <si>
    <t>MORK SREYMOM</t>
  </si>
  <si>
    <t>21-April-2001</t>
  </si>
  <si>
    <t>097 2151201</t>
  </si>
  <si>
    <t>ម៉ុន រ៉ាម៉ា</t>
  </si>
  <si>
    <t>MON RAMA</t>
  </si>
  <si>
    <t>011 63 07 28</t>
  </si>
  <si>
    <t>ម៉េន ឆេងលាប</t>
  </si>
  <si>
    <t>MEN CHHENGLEAB</t>
  </si>
  <si>
    <t>០១-តុលា-២០០០</t>
  </si>
  <si>
    <t>01-October-2000</t>
  </si>
  <si>
    <t>ហ៊ុន សែន ខ្ចៅ</t>
  </si>
  <si>
    <t>088 2207490</t>
  </si>
  <si>
    <t>មាស ស្រីពៅ</t>
  </si>
  <si>
    <t>MEAS SREY PEOU</t>
  </si>
  <si>
    <t>២៥-កុម្ភៈ-១៩៩៩</t>
  </si>
  <si>
    <t>25-February-1999</t>
  </si>
  <si>
    <t>6</t>
  </si>
  <si>
    <t>096 74 24 256</t>
  </si>
  <si>
    <t>មឿន ប៉ុប</t>
  </si>
  <si>
    <t>MOEUN POB</t>
  </si>
  <si>
    <t>០៣-ឧសភា-២០០០</t>
  </si>
  <si>
    <t>03-May-2000</t>
  </si>
  <si>
    <t>ហ៊ុន សែន​ កំចាយមារ</t>
  </si>
  <si>
    <t>097 811 3789</t>
  </si>
  <si>
    <t>រ៉ន គឹមស្រ៊ាន</t>
  </si>
  <si>
    <t>RORN KOEMSREA</t>
  </si>
  <si>
    <t>២៨-តុលា-២០០១</t>
  </si>
  <si>
    <t>28-October-2001</t>
  </si>
  <si>
    <t>សម្ដេចក្រុម ព្រះមហាលាភ</t>
  </si>
  <si>
    <t>24</t>
  </si>
  <si>
    <t xml:space="preserve">097 26 33 584 </t>
  </si>
  <si>
    <t>វ៉ុន ឌឿន</t>
  </si>
  <si>
    <t>VON DERN</t>
  </si>
  <si>
    <t>០៧-មិនា-២០០១</t>
  </si>
  <si>
    <t>07-March-2001</t>
  </si>
  <si>
    <t>3</t>
  </si>
  <si>
    <t>088 66 17 690</t>
  </si>
  <si>
    <t>ស៊ាន់ ធីតា</t>
  </si>
  <si>
    <t>SEAN THIDA</t>
  </si>
  <si>
    <t>០៦-កុម្ភៈ-២០០០</t>
  </si>
  <si>
    <t>06-February-2000</t>
  </si>
  <si>
    <t>សារុន សាវឿន</t>
  </si>
  <si>
    <t>SARUN SAVOEUN</t>
  </si>
  <si>
    <t>១០-កក្កដា-១៩៩៩</t>
  </si>
  <si>
    <t>10-July-1999</t>
  </si>
  <si>
    <t>088 4860248</t>
  </si>
  <si>
    <t>សឹម​ គន្ធា</t>
  </si>
  <si>
    <t>SEOM KUNTHEA</t>
  </si>
  <si>
    <t>២០-តុលា-២០០២</t>
  </si>
  <si>
    <t>20-october-2002</t>
  </si>
  <si>
    <t>13</t>
  </si>
  <si>
    <t>088 89 03 922</t>
  </si>
  <si>
    <t>ឡេង សានួន</t>
  </si>
  <si>
    <t>LENG SANOUN</t>
  </si>
  <si>
    <t>១០-សីហា-១៩៩៩</t>
  </si>
  <si>
    <t>10-August-1999</t>
  </si>
  <si>
    <t>099 342820</t>
  </si>
  <si>
    <t>អេង ចាន់</t>
  </si>
  <si>
    <t>ENG CHAN</t>
  </si>
  <si>
    <t>០៣-កក្កដា-២០០០</t>
  </si>
  <si>
    <t>03-July-2000</t>
  </si>
  <si>
    <t>088 9293175</t>
  </si>
  <si>
    <t>បញ្ជីរាយនាមនិស្សិតថ្នាក់ឆ្នាំសិក្សាមូលដ្ឋាន​ ជំនាន់ទី ១២</t>
  </si>
  <si>
    <t>ជំនាញ អង់​គ្លេស (អាហារូបករណ៍) ឆ្នាំសិក្សា ២០១៨ - ២០១៩</t>
  </si>
  <si>
    <t>ខេង ស្រីវីន</t>
  </si>
  <si>
    <t>KHENG SREY VIN</t>
  </si>
  <si>
    <t>០៤-វិច្ឆិកា-២០០០</t>
  </si>
  <si>
    <t>04-November-2000</t>
  </si>
  <si>
    <t>097 99 92 763</t>
  </si>
  <si>
    <t>គង់ ស្រីនាង</t>
  </si>
  <si>
    <t>KONG SREYNEANG</t>
  </si>
  <si>
    <t>១០-សីហា-២០០០</t>
  </si>
  <si>
    <t>088 23 98 163</t>
  </si>
  <si>
    <t>ចឹម ម៉ាលីស</t>
  </si>
  <si>
    <t xml:space="preserve">CHOEM MALIS </t>
  </si>
  <si>
    <t>២០-មិនា-២០០២</t>
  </si>
  <si>
    <t>20-March-2002</t>
  </si>
  <si>
    <t>088 79 54 641</t>
  </si>
  <si>
    <t>ឆូយ សុគន្ថារី</t>
  </si>
  <si>
    <t>CHHOY SOKUNTHARY</t>
  </si>
  <si>
    <t>២៧-សីហា-២០០០</t>
  </si>
  <si>
    <t>27-August-2000</t>
  </si>
  <si>
    <t>081 288  337</t>
  </si>
  <si>
    <t>ឈន ស្រី</t>
  </si>
  <si>
    <t>CHHORN SREY</t>
  </si>
  <si>
    <t>១៤-មិថុនា-២០០០</t>
  </si>
  <si>
    <t>14-June-2000</t>
  </si>
  <si>
    <t>071 36 80 752</t>
  </si>
  <si>
    <t>ទឹម ស្រីឃឿន</t>
  </si>
  <si>
    <t>TOEM SREYKHOEUN</t>
  </si>
  <si>
    <t>២៤-វិច្ឆិកា-២០០៣</t>
  </si>
  <si>
    <t>24-November-2003</t>
  </si>
  <si>
    <t>097 64 77 242</t>
  </si>
  <si>
    <t>នួន លក្ខិណា</t>
  </si>
  <si>
    <t>NUON LEAKHENA</t>
  </si>
  <si>
    <t>៣១-មករា-២០០៤</t>
  </si>
  <si>
    <t>089 88 71 33</t>
  </si>
  <si>
    <t xml:space="preserve">នឿន ចំណាន </t>
  </si>
  <si>
    <t>NOEUN CHOMNAN</t>
  </si>
  <si>
    <t>១២-សីហា-២០០០</t>
  </si>
  <si>
    <t>12-August-2000</t>
  </si>
  <si>
    <t>093 59 68 08</t>
  </si>
  <si>
    <t>លឹម លាងអ៊ី</t>
  </si>
  <si>
    <t>LIM LEANG E</t>
  </si>
  <si>
    <t>២៥-កុម្ភៈ-២០០១</t>
  </si>
  <si>
    <t>25-February-2001</t>
  </si>
  <si>
    <t>088 933 0304</t>
  </si>
  <si>
    <t>វ៉ាន​ សុខនីន</t>
  </si>
  <si>
    <t>VAN SOKNIN</t>
  </si>
  <si>
    <t>១៤-កុម្ភៈ-២០០០</t>
  </si>
  <si>
    <t>14-February-2000</t>
  </si>
  <si>
    <t>097 77 13 712</t>
  </si>
  <si>
    <t>សៅ ចន្នី</t>
  </si>
  <si>
    <t>SAO CHANY</t>
  </si>
  <si>
    <t>១០-វិច្ឆិកា-២០០០</t>
  </si>
  <si>
    <t>10-November-2000</t>
  </si>
  <si>
    <t>071 253 22 97</t>
  </si>
  <si>
    <t>ហ៊ាប ម៉ារីម៉ា</t>
  </si>
  <si>
    <t>HEAP MARYMA</t>
  </si>
  <si>
    <t>077 83 57 33</t>
  </si>
  <si>
    <t>ហ៊ាម ណាំអ៊ី</t>
  </si>
  <si>
    <t>HEAM NAM EII</t>
  </si>
  <si>
    <t>០៥-កញ្ញា-២០០៣</t>
  </si>
  <si>
    <t>05-Octomber-2003</t>
  </si>
  <si>
    <t>097 96 34 214</t>
  </si>
  <si>
    <t>ហុក បុប្ផាហ៍</t>
  </si>
  <si>
    <t>HOK BOPHA</t>
  </si>
  <si>
    <t>០២-កុម្ភៈ-១៩៩៩</t>
  </si>
  <si>
    <t>02-February-1999</t>
  </si>
  <si>
    <t>ព្រឹម ចាន់ថា</t>
  </si>
  <si>
    <t>PROEM CHANTHA</t>
  </si>
  <si>
    <t>២៦-សីហា-២០០២</t>
  </si>
  <si>
    <t>26-August-2002</t>
  </si>
  <si>
    <t>088 3701118</t>
  </si>
  <si>
    <t>គោត្តនាមនិងនាម</t>
  </si>
  <si>
    <t>ជំនាញៈ វិទ្យាសាស្រ្តកុំព្យូទ័រ  របស់មហាវិទ្យាល័យវិទ្យាសាស្ត្រ និងគណិតសាស្ត្រ</t>
  </si>
  <si>
    <t>វត្តមាន</t>
  </si>
  <si>
    <t>Week 1</t>
  </si>
  <si>
    <t>Week 2</t>
  </si>
  <si>
    <t>Week 3</t>
  </si>
  <si>
    <t>Sat</t>
  </si>
  <si>
    <t>Sun</t>
  </si>
  <si>
    <t>For Makeup Class</t>
  </si>
  <si>
    <t>Attendanct Point</t>
  </si>
  <si>
    <t>Present</t>
  </si>
  <si>
    <t>Unexcuse</t>
  </si>
  <si>
    <t>Excuse</t>
  </si>
  <si>
    <t>Max 10</t>
  </si>
  <si>
    <t>ជ័យ សុខនាង</t>
  </si>
  <si>
    <t>CHEY SOKNEANG</t>
  </si>
  <si>
    <t>ពូល ហាន្នី</t>
  </si>
  <si>
    <t>POUL HONEY</t>
  </si>
  <si>
    <t>វៃ មុនីឧត្ដម</t>
  </si>
  <si>
    <t>VEY MONY OUDOM</t>
  </si>
  <si>
    <t>ញ៉ឹម ភារុន</t>
  </si>
  <si>
    <t>NHOEM PHEARON</t>
  </si>
  <si>
    <t>វ៉ា រ៉ូណាដូ</t>
  </si>
  <si>
    <t>VA RONADO</t>
  </si>
  <si>
    <t>ជឿន គីមហេង</t>
  </si>
  <si>
    <t>CHOEUN KIMHENG</t>
  </si>
  <si>
    <t>ឈឿង ចាន់ទ្រា</t>
  </si>
  <si>
    <t>CHHOEUNG CHANTREA</t>
  </si>
  <si>
    <t>ប៉ោ សៀវទា</t>
  </si>
  <si>
    <t>POR SIVTEA</t>
  </si>
  <si>
    <t>ម៉ន ស្រីនី</t>
  </si>
  <si>
    <t>MORN SREYNY</t>
  </si>
  <si>
    <t>ប៊ន់ ជីវ័ន្ត</t>
  </si>
  <si>
    <t>BORN CHIVORN</t>
  </si>
  <si>
    <t>មាស វិសិដ្ឋ</t>
  </si>
  <si>
    <t>MEAS VISETH</t>
  </si>
  <si>
    <t>វ៉ន ដេវីដ</t>
  </si>
  <si>
    <t>VON DAVID</t>
  </si>
  <si>
    <t>សាវិន ស្រីនាង</t>
  </si>
  <si>
    <t>SAVIN SREYNEANG</t>
  </si>
  <si>
    <t>ជិន គុយស៊ីន</t>
  </si>
  <si>
    <t>CHIN KUYSIN</t>
  </si>
  <si>
    <t>០១ មករា ២០០៤</t>
  </si>
  <si>
    <t>១៨ កញ្ញា ២០០៤</t>
  </si>
  <si>
    <t>០៤ ឧសភា ២០០៤</t>
  </si>
  <si>
    <t>០៥ មិនា ២០០២</t>
  </si>
  <si>
    <t>១៥ មេសា ២០០៤</t>
  </si>
  <si>
    <t>០៧ វិច្ឆិកា ២០០៥</t>
  </si>
  <si>
    <t>១១ សីហា ២០០៦</t>
  </si>
  <si>
    <t>១៦​ មិថុនា ២០០៥</t>
  </si>
  <si>
    <t>១០​ កុម្ភៈ ២០០៤</t>
  </si>
  <si>
    <t>១៧  ធ្នូ  ២០០៥</t>
  </si>
  <si>
    <t>៣១ ឧសភា ១៩៩២</t>
  </si>
  <si>
    <t>១១ កក្កដា ២០០១</t>
  </si>
  <si>
    <t>២០ កក្កដា ២០០៦</t>
  </si>
  <si>
    <t>០៣ មេសា ២០០២</t>
  </si>
  <si>
    <t/>
  </si>
  <si>
    <t>បញ្ជីរាយនាមនិស្សិត ថ្នាក់វិទ្យាសាស្ត្រ ឆ្នាំទី៤ ជំនាន់ទី ២៩ ឆ្នាំសិក្សា ២០២៥-២០២៦</t>
  </si>
  <si>
    <t>P</t>
  </si>
  <si>
    <t>U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</si>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</sst>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12000425]0"/>
    <numFmt numFmtId="165" formatCode="00####"/>
    <numFmt numFmtId="166" formatCode="0#"/>
    <numFmt numFmtId="167" formatCode="0####"/>
    <numFmt numFmtId="168" formatCode="000##"/>
    <numFmt numFmtId="169" formatCode="00###"/>
    <numFmt numFmtId="170" formatCode="d/mmm/yyyy"/>
    <numFmt numFmtId="171" formatCode="dd\-mmmm\-yyyy"/>
    <numFmt numFmtId="172" formatCode="\ 0####"/>
    <numFmt numFmtId="173" formatCode="mmm;@"/>
  </numFmts>
  <fonts count="40">
    <font>
      <sz val="10"/>
      <name val="Arial"/>
      <charset val="134"/>
    </font>
    <font>
      <sz val="11"/>
      <name val="Arial"/>
      <family val="2"/>
    </font>
    <font>
      <sz val="10"/>
      <name val="Khmer OS"/>
    </font>
    <font>
      <sz val="11"/>
      <name val="Limon R1"/>
    </font>
    <font>
      <sz val="12"/>
      <name val="Khmer OS Muol Light"/>
    </font>
    <font>
      <sz val="11"/>
      <name val="Tacteing"/>
    </font>
    <font>
      <sz val="12"/>
      <name val="Khmer OS Muol"/>
    </font>
    <font>
      <sz val="11"/>
      <name val="Khmer OS Bokor"/>
    </font>
    <font>
      <sz val="12"/>
      <name val="Khmer OS Bokor"/>
    </font>
    <font>
      <b/>
      <sz val="10"/>
      <name val="Khmer OS System"/>
    </font>
    <font>
      <b/>
      <sz val="12"/>
      <name val="Times New Roman"/>
      <family val="1"/>
    </font>
    <font>
      <sz val="11"/>
      <name val="Times New Roman"/>
      <family val="1"/>
    </font>
    <font>
      <sz val="11"/>
      <name val="Khmer OS"/>
    </font>
    <font>
      <sz val="12"/>
      <name val="Khmer OS"/>
    </font>
    <font>
      <sz val="12"/>
      <name val="Times New Roman"/>
      <family val="1"/>
    </font>
    <font>
      <sz val="10"/>
      <name val="Times New Roman"/>
      <family val="1"/>
    </font>
    <font>
      <sz val="10"/>
      <color theme="1"/>
      <name val="Khmer OS"/>
    </font>
    <font>
      <sz val="10"/>
      <color theme="1"/>
      <name val="Khmer OS Muol Light"/>
    </font>
    <font>
      <b/>
      <sz val="10"/>
      <color theme="1"/>
      <name val="Khmer OS"/>
    </font>
    <font>
      <sz val="10"/>
      <name val="Khmer OS System"/>
    </font>
    <font>
      <sz val="12"/>
      <name val="Khmer OS System"/>
    </font>
    <font>
      <sz val="8"/>
      <name val="Khmer OS"/>
    </font>
    <font>
      <sz val="9"/>
      <name val="Khmer OS"/>
    </font>
    <font>
      <sz val="12"/>
      <color theme="1"/>
      <name val="Khmer OS"/>
    </font>
    <font>
      <b/>
      <sz val="12"/>
      <name val="Khmer OS Siemreap"/>
    </font>
    <font>
      <sz val="10"/>
      <name val="Arial"/>
      <family val="2"/>
    </font>
    <font>
      <sz val="11"/>
      <name val="Khmer OS Siemreap"/>
    </font>
    <font>
      <sz val="11"/>
      <color theme="1"/>
      <name val="Khmer OS Siemreap"/>
    </font>
    <font>
      <sz val="11"/>
      <name val="Times New Roman"/>
      <family val="1"/>
    </font>
    <font>
      <sz val="11"/>
      <color theme="1"/>
      <name val="Kh Siemreap"/>
    </font>
    <font>
      <sz val="12"/>
      <color theme="1"/>
      <name val="Khmer OS Muol Light"/>
    </font>
    <font>
      <b/>
      <sz val="12"/>
      <name val="Khmer OS Siemreap"/>
    </font>
    <font>
      <sz val="9"/>
      <name val="Khmer OS Siemreap"/>
    </font>
    <font>
      <b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i/>
      <sz val="10"/>
      <color theme="1"/>
      <name val="Times New Roman"/>
      <family val="1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5" fillId="0" borderId="0"/>
  </cellStyleXfs>
  <cellXfs count="163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/>
    </xf>
    <xf numFmtId="15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9" fillId="0" borderId="1" xfId="0" applyFont="1" applyBorder="1" applyAlignment="1">
      <alignment horizontal="center" vertical="top" wrapText="1"/>
    </xf>
    <xf numFmtId="164" fontId="12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165" fontId="14" fillId="0" borderId="1" xfId="0" applyNumberFormat="1" applyFont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15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164" fontId="13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wrapText="1"/>
    </xf>
    <xf numFmtId="16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8" fontId="14" fillId="0" borderId="1" xfId="0" applyNumberFormat="1" applyFont="1" applyBorder="1" applyAlignment="1">
      <alignment horizontal="center" vertical="center" wrapText="1"/>
    </xf>
    <xf numFmtId="169" fontId="14" fillId="0" borderId="1" xfId="0" applyNumberFormat="1" applyFont="1" applyBorder="1" applyAlignment="1">
      <alignment horizontal="center" vertical="center" wrapText="1"/>
    </xf>
    <xf numFmtId="170" fontId="19" fillId="0" borderId="1" xfId="0" applyNumberFormat="1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167" fontId="14" fillId="2" borderId="1" xfId="0" applyNumberFormat="1" applyFont="1" applyFill="1" applyBorder="1" applyAlignment="1">
      <alignment horizontal="center" vertical="center" wrapText="1"/>
    </xf>
    <xf numFmtId="166" fontId="0" fillId="2" borderId="1" xfId="0" applyNumberFormat="1" applyFill="1" applyBorder="1"/>
    <xf numFmtId="0" fontId="15" fillId="2" borderId="1" xfId="0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9" fontId="0" fillId="0" borderId="0" xfId="0" applyNumberFormat="1"/>
    <xf numFmtId="164" fontId="2" fillId="2" borderId="1" xfId="0" applyNumberFormat="1" applyFont="1" applyFill="1" applyBorder="1" applyAlignment="1">
      <alignment horizontal="center" vertical="center" wrapText="1"/>
    </xf>
    <xf numFmtId="166" fontId="14" fillId="2" borderId="1" xfId="0" applyNumberFormat="1" applyFont="1" applyFill="1" applyBorder="1" applyAlignment="1">
      <alignment horizontal="center" vertical="center" wrapText="1"/>
    </xf>
    <xf numFmtId="9" fontId="0" fillId="2" borderId="0" xfId="0" applyNumberFormat="1" applyFill="1"/>
    <xf numFmtId="171" fontId="14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4" fontId="2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167" fontId="13" fillId="0" borderId="1" xfId="0" applyNumberFormat="1" applyFont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/>
    </xf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 wrapText="1"/>
      <protection hidden="1"/>
    </xf>
    <xf numFmtId="173" fontId="35" fillId="4" borderId="9" xfId="0" applyNumberFormat="1" applyFont="1" applyFill="1" applyBorder="1" applyAlignment="1" applyProtection="1">
      <alignment vertical="center"/>
      <protection hidden="1"/>
    </xf>
    <xf numFmtId="173" fontId="34" fillId="4" borderId="10" xfId="0" applyNumberFormat="1" applyFont="1" applyFill="1" applyBorder="1" applyAlignment="1" applyProtection="1">
      <alignment vertical="center"/>
      <protection hidden="1"/>
    </xf>
    <xf numFmtId="173" fontId="34" fillId="4" borderId="11" xfId="0" applyNumberFormat="1" applyFont="1" applyFill="1" applyBorder="1" applyAlignment="1" applyProtection="1">
      <alignment vertical="center"/>
      <protection hidden="1"/>
    </xf>
    <xf numFmtId="0" fontId="38" fillId="5" borderId="12" xfId="0" applyFont="1" applyFill="1" applyBorder="1" applyAlignment="1" applyProtection="1">
      <alignment horizontal="center"/>
      <protection hidden="1"/>
    </xf>
    <xf numFmtId="0" fontId="38" fillId="5" borderId="14" xfId="0" applyFont="1" applyFill="1" applyBorder="1" applyAlignment="1" applyProtection="1">
      <alignment horizontal="center"/>
      <protection hidden="1"/>
    </xf>
    <xf numFmtId="0" fontId="38" fillId="5" borderId="13" xfId="0" applyFont="1" applyFill="1" applyBorder="1" applyAlignment="1" applyProtection="1">
      <alignment horizontal="center"/>
      <protection hidden="1"/>
    </xf>
    <xf numFmtId="0" fontId="11" fillId="0" borderId="1" xfId="0" applyFont="1" applyBorder="1" applyAlignment="1" applyProtection="1">
      <alignment horizontal="center" vertical="center" wrapText="1"/>
      <protection locked="0" hidden="1"/>
    </xf>
    <xf numFmtId="0" fontId="39" fillId="0" borderId="1" xfId="0" applyFont="1" applyBorder="1" applyAlignment="1" applyProtection="1">
      <alignment horizontal="center" vertical="center"/>
      <protection locked="0" hidden="1"/>
    </xf>
    <xf numFmtId="0" fontId="26" fillId="0" borderId="1" xfId="0" applyFont="1" applyBorder="1" applyAlignment="1" applyProtection="1">
      <alignment horizontal="left" vertical="center" wrapText="1"/>
      <protection locked="0" hidden="1"/>
    </xf>
    <xf numFmtId="0" fontId="11" fillId="0" borderId="1" xfId="0" applyFont="1" applyBorder="1" applyAlignment="1" applyProtection="1">
      <alignment vertical="center" wrapText="1"/>
      <protection locked="0" hidden="1"/>
    </xf>
    <xf numFmtId="0" fontId="26" fillId="0" borderId="1" xfId="0" applyFont="1" applyBorder="1" applyAlignment="1" applyProtection="1">
      <alignment horizontal="center" vertical="center" wrapText="1"/>
      <protection locked="0" hidden="1"/>
    </xf>
    <xf numFmtId="0" fontId="29" fillId="2" borderId="1" xfId="0" applyFont="1" applyFill="1" applyBorder="1" applyAlignment="1" applyProtection="1">
      <alignment horizontal="center" vertical="center"/>
      <protection locked="0" hidden="1"/>
    </xf>
    <xf numFmtId="0" fontId="0" fillId="0" borderId="5" xfId="0" applyBorder="1" applyAlignment="1" applyProtection="1">
      <alignment horizontal="center" vertical="center"/>
      <protection locked="0" hidden="1"/>
    </xf>
    <xf numFmtId="0" fontId="0" fillId="0" borderId="4" xfId="0" applyBorder="1" applyAlignment="1" applyProtection="1">
      <alignment horizontal="center" vertical="center"/>
      <protection locked="0"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37" fillId="6" borderId="4" xfId="0" applyFont="1" applyFill="1" applyBorder="1" applyAlignment="1" applyProtection="1">
      <alignment horizontal="center" vertical="center"/>
      <protection hidden="1"/>
    </xf>
    <xf numFmtId="0" fontId="37" fillId="0" borderId="15" xfId="0" applyFont="1" applyBorder="1" applyAlignment="1" applyProtection="1">
      <alignment horizontal="center" vertical="center"/>
      <protection hidden="1"/>
    </xf>
    <xf numFmtId="0" fontId="37" fillId="0" borderId="5" xfId="0" applyFont="1" applyBorder="1" applyAlignment="1" applyProtection="1">
      <alignment horizontal="center" vertical="center"/>
      <protection hidden="1"/>
    </xf>
    <xf numFmtId="14" fontId="29" fillId="2" borderId="1" xfId="0" applyNumberFormat="1" applyFont="1" applyFill="1" applyBorder="1" applyAlignment="1" applyProtection="1">
      <alignment vertical="center"/>
      <protection locked="0" hidden="1"/>
    </xf>
    <xf numFmtId="14" fontId="29" fillId="2" borderId="1" xfId="0" applyNumberFormat="1" applyFont="1" applyFill="1" applyBorder="1" applyAlignment="1" applyProtection="1">
      <alignment horizontal="center" vertical="center"/>
      <protection locked="0" hidden="1"/>
    </xf>
    <xf numFmtId="49" fontId="11" fillId="2" borderId="1" xfId="0" applyNumberFormat="1" applyFont="1" applyFill="1" applyBorder="1" applyAlignment="1" applyProtection="1">
      <alignment vertical="center"/>
      <protection locked="0" hidden="1"/>
    </xf>
    <xf numFmtId="0" fontId="25" fillId="0" borderId="1" xfId="0" applyFont="1" applyBorder="1" applyAlignment="1" applyProtection="1">
      <alignment horizontal="center" vertical="center"/>
      <protection locked="0" hidden="1"/>
    </xf>
    <xf numFmtId="0" fontId="26" fillId="2" borderId="1" xfId="0" applyFont="1" applyFill="1" applyBorder="1" applyAlignment="1" applyProtection="1">
      <alignment horizontal="center" vertical="center"/>
      <protection locked="0" hidden="1"/>
    </xf>
    <xf numFmtId="0" fontId="27" fillId="0" borderId="1" xfId="0" applyFont="1" applyBorder="1" applyAlignment="1" applyProtection="1">
      <alignment horizontal="left" vertical="center" wrapText="1"/>
      <protection locked="0" hidden="1"/>
    </xf>
    <xf numFmtId="0" fontId="36" fillId="2" borderId="1" xfId="0" applyFont="1" applyFill="1" applyBorder="1" applyAlignment="1" applyProtection="1">
      <alignment vertical="center" wrapText="1"/>
      <protection locked="0" hidden="1"/>
    </xf>
    <xf numFmtId="0" fontId="27" fillId="0" borderId="1" xfId="0" applyFont="1" applyBorder="1" applyAlignment="1" applyProtection="1">
      <alignment horizontal="center" vertical="center" wrapText="1"/>
      <protection locked="0" hidden="1"/>
    </xf>
    <xf numFmtId="0" fontId="29" fillId="2" borderId="1" xfId="0" applyFont="1" applyFill="1" applyBorder="1" applyAlignment="1" applyProtection="1">
      <alignment vertical="center"/>
      <protection locked="0" hidden="1"/>
    </xf>
    <xf numFmtId="0" fontId="28" fillId="0" borderId="1" xfId="0" applyFont="1" applyBorder="1" applyAlignment="1" applyProtection="1">
      <alignment horizontal="center" vertical="center" wrapText="1"/>
      <protection locked="0" hidden="1"/>
    </xf>
    <xf numFmtId="164" fontId="32" fillId="0" borderId="1" xfId="0" applyNumberFormat="1" applyFont="1" applyBorder="1" applyAlignment="1" applyProtection="1">
      <alignment horizontal="center" vertical="center"/>
      <protection locked="0" hidden="1"/>
    </xf>
    <xf numFmtId="0" fontId="26" fillId="2" borderId="1" xfId="0" applyFont="1" applyFill="1" applyBorder="1" applyAlignment="1" applyProtection="1">
      <alignment vertical="center" wrapText="1"/>
      <protection locked="0" hidden="1"/>
    </xf>
    <xf numFmtId="0" fontId="26" fillId="0" borderId="1" xfId="0" applyFont="1" applyBorder="1" applyAlignment="1" applyProtection="1">
      <alignment vertical="center" wrapText="1"/>
      <protection locked="0" hidden="1"/>
    </xf>
    <xf numFmtId="0" fontId="25" fillId="0" borderId="4" xfId="0" applyFont="1" applyBorder="1" applyAlignment="1" applyProtection="1">
      <alignment horizontal="center" vertical="center"/>
      <protection locked="0" hidden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1" fillId="0" borderId="1" xfId="0" applyFont="1" applyBorder="1" applyAlignment="1" applyProtection="1">
      <alignment horizontal="center" vertical="center" wrapText="1"/>
      <protection locked="0" hidden="1"/>
    </xf>
    <xf numFmtId="0" fontId="24" fillId="0" borderId="1" xfId="0" applyFont="1" applyBorder="1" applyAlignment="1" applyProtection="1">
      <alignment horizontal="center" vertical="center" wrapText="1"/>
      <protection locked="0"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30" fillId="0" borderId="0" xfId="0" applyFont="1" applyAlignment="1" applyProtection="1">
      <alignment horizontal="center"/>
      <protection locked="0" hidden="1"/>
    </xf>
    <xf numFmtId="0" fontId="24" fillId="0" borderId="1" xfId="0" applyFont="1" applyBorder="1" applyAlignment="1" applyProtection="1">
      <alignment horizontal="center" vertical="center" wrapText="1"/>
      <protection hidden="1"/>
    </xf>
    <xf numFmtId="173" fontId="33" fillId="3" borderId="6" xfId="0" applyNumberFormat="1" applyFont="1" applyFill="1" applyBorder="1" applyAlignment="1" applyProtection="1">
      <alignment horizontal="center" vertical="center" wrapText="1"/>
      <protection hidden="1"/>
    </xf>
    <xf numFmtId="173" fontId="33" fillId="3" borderId="7" xfId="0" applyNumberFormat="1" applyFont="1" applyFill="1" applyBorder="1" applyAlignment="1" applyProtection="1">
      <alignment horizontal="center" vertical="center" wrapText="1"/>
      <protection hidden="1"/>
    </xf>
    <xf numFmtId="173" fontId="33" fillId="3" borderId="9" xfId="0" applyNumberFormat="1" applyFont="1" applyFill="1" applyBorder="1" applyAlignment="1" applyProtection="1">
      <alignment horizontal="center" vertical="center" wrapText="1"/>
      <protection hidden="1"/>
    </xf>
    <xf numFmtId="173" fontId="33" fillId="3" borderId="10" xfId="0" applyNumberFormat="1" applyFont="1" applyFill="1" applyBorder="1" applyAlignment="1" applyProtection="1">
      <alignment horizontal="center" vertical="center" wrapText="1"/>
      <protection hidden="1"/>
    </xf>
    <xf numFmtId="173" fontId="34" fillId="4" borderId="6" xfId="0" applyNumberFormat="1" applyFont="1" applyFill="1" applyBorder="1" applyAlignment="1" applyProtection="1">
      <alignment horizontal="center" vertical="center"/>
      <protection hidden="1"/>
    </xf>
    <xf numFmtId="173" fontId="34" fillId="4" borderId="7" xfId="0" applyNumberFormat="1" applyFont="1" applyFill="1" applyBorder="1" applyAlignment="1" applyProtection="1">
      <alignment horizontal="center" vertical="center"/>
      <protection hidden="1"/>
    </xf>
    <xf numFmtId="173" fontId="34" fillId="4" borderId="8" xfId="0" applyNumberFormat="1" applyFont="1" applyFill="1" applyBorder="1" applyAlignment="1" applyProtection="1">
      <alignment horizontal="center" vertical="center"/>
      <protection hidden="1"/>
    </xf>
    <xf numFmtId="0" fontId="36" fillId="5" borderId="12" xfId="0" applyFont="1" applyFill="1" applyBorder="1" applyAlignment="1" applyProtection="1">
      <alignment horizontal="center"/>
      <protection hidden="1"/>
    </xf>
    <xf numFmtId="0" fontId="36" fillId="5" borderId="13" xfId="0" applyFont="1" applyFill="1" applyBorder="1" applyAlignment="1" applyProtection="1">
      <alignment horizontal="center"/>
      <protection hidden="1"/>
    </xf>
    <xf numFmtId="0" fontId="1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6">
    <dxf>
      <font>
        <color theme="0"/>
      </font>
    </dxf>
    <dxf>
      <font>
        <color rgb="FFFF0000"/>
      </font>
      <fill>
        <patternFill patternType="solid"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u val="none"/>
        <sz val="10"/>
        <color rgb="FF9C0006"/>
        <name val="A"/>
        <scheme val="none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1"/>
  </sheetPr>
  <dimension ref="A1:R77"/>
  <sheetViews>
    <sheetView topLeftCell="A4" zoomScale="80" zoomScaleNormal="80" workbookViewId="0">
      <pane ySplit="3" topLeftCell="A27" activePane="bottomLeft" state="frozen"/>
      <selection pane="bottomLeft" activeCell="C7" sqref="C7:C32"/>
    </sheetView>
  </sheetViews>
  <sheetFormatPr baseColWidth="10" defaultColWidth="8.6640625" defaultRowHeight="24" customHeight="1"/>
  <cols>
    <col min="1" max="1" width="6" customWidth="1"/>
    <col min="2" max="2" width="12.33203125" customWidth="1"/>
    <col min="3" max="3" width="18.5" customWidth="1"/>
    <col min="4" max="4" width="26" customWidth="1"/>
    <col min="5" max="5" width="7.6640625" style="4" customWidth="1"/>
    <col min="6" max="6" width="12.33203125" customWidth="1"/>
    <col min="7" max="7" width="21.6640625" style="4" customWidth="1"/>
    <col min="8" max="8" width="20.33203125" customWidth="1"/>
    <col min="9" max="9" width="21.6640625" customWidth="1"/>
    <col min="10" max="10" width="12.6640625" customWidth="1"/>
    <col min="12" max="13" width="10.5" customWidth="1"/>
    <col min="15" max="15" width="15.6640625" customWidth="1"/>
  </cols>
  <sheetData>
    <row r="1" spans="1:15" s="1" customFormat="1" ht="25.5" customHeight="1">
      <c r="A1" s="5"/>
      <c r="B1" s="5"/>
      <c r="C1" s="5"/>
      <c r="D1" s="5"/>
      <c r="E1" s="5"/>
      <c r="F1" s="5"/>
      <c r="G1" s="6"/>
      <c r="H1" s="6"/>
      <c r="I1" s="142" t="s">
        <v>0</v>
      </c>
      <c r="J1" s="142"/>
      <c r="K1" s="142"/>
      <c r="L1" s="142"/>
      <c r="M1" s="142"/>
      <c r="N1" s="142"/>
    </row>
    <row r="2" spans="1:15" s="1" customFormat="1" ht="25.5" customHeight="1">
      <c r="A2" s="7" t="s">
        <v>1</v>
      </c>
      <c r="B2" s="8"/>
      <c r="C2" s="5"/>
      <c r="D2" s="5"/>
      <c r="E2" s="5"/>
      <c r="F2" s="5"/>
      <c r="G2" s="6"/>
      <c r="H2" s="6"/>
      <c r="I2" s="142" t="s">
        <v>2</v>
      </c>
      <c r="J2" s="142"/>
      <c r="K2" s="142"/>
      <c r="L2" s="142"/>
      <c r="M2" s="142"/>
      <c r="N2" s="142"/>
    </row>
    <row r="3" spans="1:15" s="1" customFormat="1" ht="26">
      <c r="A3" s="7" t="s">
        <v>3</v>
      </c>
      <c r="B3" s="8"/>
      <c r="C3" s="5"/>
      <c r="D3" s="5"/>
      <c r="E3" s="5"/>
      <c r="F3" s="5"/>
      <c r="G3" s="9"/>
      <c r="H3" s="9"/>
      <c r="I3" s="143">
        <v>323</v>
      </c>
      <c r="J3" s="143"/>
      <c r="K3" s="143"/>
      <c r="L3" s="143"/>
      <c r="M3" s="143"/>
      <c r="N3" s="143"/>
    </row>
    <row r="4" spans="1:15" s="1" customFormat="1" ht="29">
      <c r="A4" s="144" t="s">
        <v>4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0"/>
    </row>
    <row r="5" spans="1:15" s="1" customFormat="1" ht="29.25" customHeight="1">
      <c r="A5" s="145" t="s">
        <v>5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1"/>
    </row>
    <row r="6" spans="1:15" ht="60">
      <c r="A6" s="12" t="s">
        <v>6</v>
      </c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3" t="s">
        <v>13</v>
      </c>
      <c r="I6" s="12" t="s">
        <v>14</v>
      </c>
      <c r="J6" s="12" t="s">
        <v>15</v>
      </c>
      <c r="K6" s="44" t="s">
        <v>16</v>
      </c>
      <c r="L6" s="44" t="s">
        <v>17</v>
      </c>
      <c r="M6" s="44" t="s">
        <v>18</v>
      </c>
      <c r="N6" s="12" t="s">
        <v>19</v>
      </c>
      <c r="O6" s="12" t="s">
        <v>20</v>
      </c>
    </row>
    <row r="7" spans="1:15" ht="29.25" customHeight="1">
      <c r="A7" s="39">
        <v>22</v>
      </c>
      <c r="B7" s="15">
        <v>8000</v>
      </c>
      <c r="C7" s="20" t="s">
        <v>21</v>
      </c>
      <c r="D7" s="21" t="s">
        <v>22</v>
      </c>
      <c r="E7" s="22" t="s">
        <v>23</v>
      </c>
      <c r="F7" s="23" t="s">
        <v>24</v>
      </c>
      <c r="G7" s="24" t="s">
        <v>25</v>
      </c>
      <c r="H7" s="38" t="s">
        <v>26</v>
      </c>
      <c r="I7" s="49" t="s">
        <v>27</v>
      </c>
      <c r="J7" s="50" t="s">
        <v>28</v>
      </c>
      <c r="K7" s="23">
        <v>2019</v>
      </c>
      <c r="L7" s="23"/>
      <c r="M7" s="23">
        <v>26</v>
      </c>
      <c r="N7" t="s">
        <v>29</v>
      </c>
      <c r="O7" s="52" t="s">
        <v>30</v>
      </c>
    </row>
    <row r="8" spans="1:15" ht="29.25" customHeight="1">
      <c r="A8" s="39">
        <v>6</v>
      </c>
      <c r="B8" s="15">
        <v>8001</v>
      </c>
      <c r="C8" s="20" t="s">
        <v>31</v>
      </c>
      <c r="D8" s="21" t="s">
        <v>32</v>
      </c>
      <c r="E8" s="22" t="s">
        <v>33</v>
      </c>
      <c r="F8" s="23" t="s">
        <v>34</v>
      </c>
      <c r="G8" s="24" t="s">
        <v>35</v>
      </c>
      <c r="H8" s="69" t="s">
        <v>36</v>
      </c>
      <c r="I8" s="59" t="s">
        <v>37</v>
      </c>
      <c r="J8" s="50" t="s">
        <v>28</v>
      </c>
      <c r="K8" s="23">
        <v>2019</v>
      </c>
      <c r="L8" s="68"/>
      <c r="M8" s="55">
        <v>34</v>
      </c>
      <c r="N8" s="51"/>
      <c r="O8" s="101" t="s">
        <v>38</v>
      </c>
    </row>
    <row r="9" spans="1:15" ht="29.25" customHeight="1">
      <c r="A9" s="39">
        <v>17</v>
      </c>
      <c r="B9" s="15">
        <v>8002</v>
      </c>
      <c r="C9" s="20" t="s">
        <v>39</v>
      </c>
      <c r="D9" s="21" t="s">
        <v>40</v>
      </c>
      <c r="E9" s="22" t="s">
        <v>33</v>
      </c>
      <c r="F9" s="23" t="s">
        <v>34</v>
      </c>
      <c r="G9" s="24" t="s">
        <v>41</v>
      </c>
      <c r="H9" s="69" t="s">
        <v>42</v>
      </c>
      <c r="I9" s="59" t="s">
        <v>43</v>
      </c>
      <c r="J9" s="50" t="s">
        <v>28</v>
      </c>
      <c r="K9" s="23">
        <v>2019</v>
      </c>
      <c r="L9" s="69"/>
      <c r="M9" s="23">
        <v>60</v>
      </c>
      <c r="N9" s="51"/>
      <c r="O9" s="92" t="s">
        <v>44</v>
      </c>
    </row>
    <row r="10" spans="1:15" ht="29.25" customHeight="1">
      <c r="A10" s="39">
        <v>8</v>
      </c>
      <c r="B10" s="15">
        <v>8003</v>
      </c>
      <c r="C10" s="20" t="s">
        <v>45</v>
      </c>
      <c r="D10" s="28" t="s">
        <v>46</v>
      </c>
      <c r="E10" s="24" t="s">
        <v>33</v>
      </c>
      <c r="F10" s="23" t="s">
        <v>34</v>
      </c>
      <c r="G10" s="24" t="s">
        <v>47</v>
      </c>
      <c r="H10" s="69" t="s">
        <v>48</v>
      </c>
      <c r="I10" s="59" t="s">
        <v>49</v>
      </c>
      <c r="J10" s="50" t="s">
        <v>28</v>
      </c>
      <c r="K10" s="23">
        <v>2019</v>
      </c>
      <c r="L10" s="69"/>
      <c r="M10" s="23">
        <v>16</v>
      </c>
      <c r="N10" s="51"/>
      <c r="O10" s="91" t="s">
        <v>50</v>
      </c>
    </row>
    <row r="11" spans="1:15" ht="29.25" customHeight="1">
      <c r="A11" s="39">
        <v>3</v>
      </c>
      <c r="B11" s="15">
        <v>8004</v>
      </c>
      <c r="C11" s="20" t="s">
        <v>51</v>
      </c>
      <c r="D11" s="65" t="s">
        <v>52</v>
      </c>
      <c r="E11" s="24" t="s">
        <v>33</v>
      </c>
      <c r="F11" s="22" t="s">
        <v>34</v>
      </c>
      <c r="G11" s="66" t="s">
        <v>53</v>
      </c>
      <c r="H11" s="69" t="s">
        <v>54</v>
      </c>
      <c r="I11" s="59" t="s">
        <v>55</v>
      </c>
      <c r="J11" s="50" t="s">
        <v>28</v>
      </c>
      <c r="K11" s="23">
        <v>2019</v>
      </c>
      <c r="L11" s="69"/>
      <c r="M11" s="23">
        <v>8</v>
      </c>
      <c r="N11" s="51"/>
      <c r="O11" s="91" t="s">
        <v>56</v>
      </c>
    </row>
    <row r="12" spans="1:15" ht="29.25" customHeight="1">
      <c r="A12" s="39">
        <v>12</v>
      </c>
      <c r="B12" s="15">
        <v>8005</v>
      </c>
      <c r="C12" s="20" t="s">
        <v>57</v>
      </c>
      <c r="D12" s="21" t="s">
        <v>58</v>
      </c>
      <c r="E12" s="22" t="s">
        <v>23</v>
      </c>
      <c r="F12" s="23" t="s">
        <v>24</v>
      </c>
      <c r="G12" s="24" t="s">
        <v>59</v>
      </c>
      <c r="H12" s="69" t="s">
        <v>60</v>
      </c>
      <c r="I12" s="49" t="s">
        <v>61</v>
      </c>
      <c r="J12" s="50" t="s">
        <v>62</v>
      </c>
      <c r="K12" s="23">
        <v>2019</v>
      </c>
      <c r="L12" s="69"/>
      <c r="M12" s="23">
        <v>46</v>
      </c>
      <c r="N12" s="51"/>
      <c r="O12" s="91" t="s">
        <v>63</v>
      </c>
    </row>
    <row r="13" spans="1:15" ht="29.25" customHeight="1">
      <c r="A13" s="39">
        <v>1</v>
      </c>
      <c r="B13" s="15">
        <v>8006</v>
      </c>
      <c r="C13" s="20" t="s">
        <v>64</v>
      </c>
      <c r="D13" s="21" t="s">
        <v>65</v>
      </c>
      <c r="E13" s="22" t="s">
        <v>33</v>
      </c>
      <c r="F13" s="23" t="s">
        <v>34</v>
      </c>
      <c r="G13" s="24" t="s">
        <v>66</v>
      </c>
      <c r="H13" s="69" t="s">
        <v>67</v>
      </c>
      <c r="I13" s="59" t="s">
        <v>68</v>
      </c>
      <c r="J13" s="50" t="s">
        <v>28</v>
      </c>
      <c r="K13" s="23">
        <v>2019</v>
      </c>
      <c r="L13" s="68"/>
      <c r="M13" s="55">
        <v>2</v>
      </c>
      <c r="N13" s="50"/>
      <c r="O13" s="101" t="s">
        <v>69</v>
      </c>
    </row>
    <row r="14" spans="1:15" ht="29.25" customHeight="1">
      <c r="A14" s="39">
        <v>10</v>
      </c>
      <c r="B14" s="15">
        <v>8007</v>
      </c>
      <c r="C14" s="20" t="s">
        <v>70</v>
      </c>
      <c r="D14" s="21" t="s">
        <v>71</v>
      </c>
      <c r="E14" s="22" t="s">
        <v>33</v>
      </c>
      <c r="F14" s="23" t="s">
        <v>34</v>
      </c>
      <c r="G14" s="24" t="s">
        <v>72</v>
      </c>
      <c r="H14" s="69" t="s">
        <v>73</v>
      </c>
      <c r="I14" s="49" t="s">
        <v>74</v>
      </c>
      <c r="J14" s="50" t="s">
        <v>75</v>
      </c>
      <c r="K14" s="23">
        <v>2019</v>
      </c>
      <c r="L14" s="72"/>
      <c r="M14" s="55">
        <v>24</v>
      </c>
      <c r="N14" s="51"/>
      <c r="O14" s="101" t="s">
        <v>76</v>
      </c>
    </row>
    <row r="15" spans="1:15" ht="29.25" customHeight="1">
      <c r="A15" s="39">
        <v>11</v>
      </c>
      <c r="B15" s="15">
        <v>8008</v>
      </c>
      <c r="C15" s="20" t="s">
        <v>77</v>
      </c>
      <c r="D15" s="21" t="s">
        <v>78</v>
      </c>
      <c r="E15" s="22" t="s">
        <v>33</v>
      </c>
      <c r="F15" s="23" t="s">
        <v>34</v>
      </c>
      <c r="G15" s="24" t="s">
        <v>72</v>
      </c>
      <c r="H15" s="69" t="s">
        <v>73</v>
      </c>
      <c r="I15" s="49" t="s">
        <v>74</v>
      </c>
      <c r="J15" s="50" t="s">
        <v>75</v>
      </c>
      <c r="K15" s="23">
        <v>2019</v>
      </c>
      <c r="L15" s="68"/>
      <c r="M15" s="55">
        <v>37</v>
      </c>
      <c r="N15" s="51"/>
      <c r="O15" s="101" t="s">
        <v>79</v>
      </c>
    </row>
    <row r="16" spans="1:15" ht="29.25" customHeight="1">
      <c r="A16" s="39">
        <v>13</v>
      </c>
      <c r="B16" s="15">
        <v>8009</v>
      </c>
      <c r="C16" s="20" t="s">
        <v>80</v>
      </c>
      <c r="D16" s="21" t="s">
        <v>81</v>
      </c>
      <c r="E16" s="22" t="s">
        <v>33</v>
      </c>
      <c r="F16" s="23" t="s">
        <v>34</v>
      </c>
      <c r="G16" s="24" t="s">
        <v>82</v>
      </c>
      <c r="H16" s="69" t="s">
        <v>83</v>
      </c>
      <c r="I16" s="59" t="s">
        <v>84</v>
      </c>
      <c r="J16" s="50" t="s">
        <v>28</v>
      </c>
      <c r="K16" s="23">
        <v>2019</v>
      </c>
      <c r="L16" s="68"/>
      <c r="M16" s="55">
        <v>19</v>
      </c>
      <c r="N16" s="51"/>
      <c r="O16" s="101" t="s">
        <v>85</v>
      </c>
    </row>
    <row r="17" spans="1:16" ht="29.25" customHeight="1">
      <c r="A17" s="39">
        <v>20</v>
      </c>
      <c r="B17" s="15">
        <v>8010</v>
      </c>
      <c r="C17" s="20" t="s">
        <v>86</v>
      </c>
      <c r="D17" s="21" t="s">
        <v>87</v>
      </c>
      <c r="E17" s="22" t="s">
        <v>33</v>
      </c>
      <c r="F17" s="23" t="s">
        <v>34</v>
      </c>
      <c r="G17" s="24" t="s">
        <v>88</v>
      </c>
      <c r="H17" s="69" t="s">
        <v>89</v>
      </c>
      <c r="I17" s="59" t="s">
        <v>90</v>
      </c>
      <c r="J17" s="50" t="s">
        <v>28</v>
      </c>
      <c r="K17" s="23">
        <v>2019</v>
      </c>
      <c r="L17" s="69"/>
      <c r="M17" s="23">
        <v>21</v>
      </c>
      <c r="N17" s="51" t="s">
        <v>29</v>
      </c>
      <c r="O17" s="92" t="s">
        <v>91</v>
      </c>
    </row>
    <row r="18" spans="1:16" ht="29.25" customHeight="1">
      <c r="A18" s="39">
        <v>7</v>
      </c>
      <c r="B18" s="15">
        <v>8011</v>
      </c>
      <c r="C18" s="20" t="s">
        <v>92</v>
      </c>
      <c r="D18" s="21" t="s">
        <v>93</v>
      </c>
      <c r="E18" s="22" t="s">
        <v>33</v>
      </c>
      <c r="F18" s="23" t="s">
        <v>34</v>
      </c>
      <c r="G18" s="24" t="s">
        <v>94</v>
      </c>
      <c r="H18" s="69" t="s">
        <v>95</v>
      </c>
      <c r="I18" s="49" t="s">
        <v>61</v>
      </c>
      <c r="J18" s="50" t="s">
        <v>62</v>
      </c>
      <c r="K18" s="23">
        <v>2019</v>
      </c>
      <c r="L18" s="68"/>
      <c r="M18" s="55">
        <v>30</v>
      </c>
      <c r="N18" s="51"/>
      <c r="O18" s="101" t="s">
        <v>96</v>
      </c>
    </row>
    <row r="19" spans="1:16" ht="29.25" customHeight="1">
      <c r="A19" s="39">
        <v>23</v>
      </c>
      <c r="B19" s="15">
        <v>8012</v>
      </c>
      <c r="C19" s="20" t="s">
        <v>97</v>
      </c>
      <c r="D19" s="21" t="s">
        <v>98</v>
      </c>
      <c r="E19" s="22" t="s">
        <v>33</v>
      </c>
      <c r="F19" s="23" t="s">
        <v>34</v>
      </c>
      <c r="G19" s="24" t="s">
        <v>99</v>
      </c>
      <c r="H19" s="69" t="s">
        <v>100</v>
      </c>
      <c r="I19" s="59" t="s">
        <v>55</v>
      </c>
      <c r="J19" s="50" t="s">
        <v>28</v>
      </c>
      <c r="K19" s="23">
        <v>2019</v>
      </c>
      <c r="L19" s="23"/>
      <c r="M19" s="23">
        <v>5</v>
      </c>
      <c r="N19" s="51" t="s">
        <v>29</v>
      </c>
      <c r="O19" s="91" t="s">
        <v>101</v>
      </c>
    </row>
    <row r="20" spans="1:16" ht="29.25" customHeight="1">
      <c r="A20" s="39">
        <v>21</v>
      </c>
      <c r="B20" s="15">
        <v>8013</v>
      </c>
      <c r="C20" s="20" t="s">
        <v>102</v>
      </c>
      <c r="D20" s="21" t="s">
        <v>103</v>
      </c>
      <c r="E20" s="22" t="s">
        <v>33</v>
      </c>
      <c r="F20" s="23" t="s">
        <v>34</v>
      </c>
      <c r="G20" s="24" t="s">
        <v>104</v>
      </c>
      <c r="H20" s="69" t="s">
        <v>105</v>
      </c>
      <c r="I20" s="49" t="s">
        <v>49</v>
      </c>
      <c r="J20" s="50" t="s">
        <v>28</v>
      </c>
      <c r="K20" s="23">
        <v>2019</v>
      </c>
      <c r="L20" s="68"/>
      <c r="M20" s="55">
        <v>13</v>
      </c>
      <c r="N20" s="51" t="s">
        <v>29</v>
      </c>
      <c r="O20" s="101" t="s">
        <v>106</v>
      </c>
    </row>
    <row r="21" spans="1:16" ht="29.25" customHeight="1">
      <c r="A21" s="39">
        <v>19</v>
      </c>
      <c r="B21" s="15">
        <v>8014</v>
      </c>
      <c r="C21" s="20" t="s">
        <v>107</v>
      </c>
      <c r="D21" s="21" t="s">
        <v>108</v>
      </c>
      <c r="E21" s="22" t="s">
        <v>33</v>
      </c>
      <c r="F21" s="23" t="s">
        <v>34</v>
      </c>
      <c r="G21" s="24" t="s">
        <v>109</v>
      </c>
      <c r="H21" s="69" t="s">
        <v>110</v>
      </c>
      <c r="I21" s="59" t="s">
        <v>111</v>
      </c>
      <c r="J21" s="50" t="s">
        <v>28</v>
      </c>
      <c r="K21" s="23">
        <v>2019</v>
      </c>
      <c r="L21" s="69"/>
      <c r="M21" s="23">
        <v>51</v>
      </c>
      <c r="N21" s="51"/>
      <c r="O21" s="92" t="s">
        <v>112</v>
      </c>
    </row>
    <row r="22" spans="1:16" ht="29.25" customHeight="1">
      <c r="A22" s="39">
        <v>14</v>
      </c>
      <c r="B22" s="15">
        <v>8015</v>
      </c>
      <c r="C22" s="20" t="s">
        <v>113</v>
      </c>
      <c r="D22" s="21" t="s">
        <v>114</v>
      </c>
      <c r="E22" s="22" t="s">
        <v>33</v>
      </c>
      <c r="F22" s="23" t="s">
        <v>34</v>
      </c>
      <c r="G22" s="24" t="s">
        <v>115</v>
      </c>
      <c r="H22" s="69" t="s">
        <v>116</v>
      </c>
      <c r="I22" s="59" t="s">
        <v>37</v>
      </c>
      <c r="J22" s="50" t="s">
        <v>28</v>
      </c>
      <c r="K22" s="23">
        <v>2019</v>
      </c>
      <c r="L22" s="69"/>
      <c r="M22" s="23">
        <v>14</v>
      </c>
      <c r="N22" s="51"/>
      <c r="O22" s="92" t="s">
        <v>117</v>
      </c>
    </row>
    <row r="23" spans="1:16" ht="29.25" customHeight="1">
      <c r="A23" s="39">
        <v>18</v>
      </c>
      <c r="B23" s="15">
        <v>8016</v>
      </c>
      <c r="C23" s="20" t="s">
        <v>118</v>
      </c>
      <c r="D23" s="21" t="s">
        <v>119</v>
      </c>
      <c r="E23" s="22" t="s">
        <v>33</v>
      </c>
      <c r="F23" s="23" t="s">
        <v>34</v>
      </c>
      <c r="G23" s="24" t="s">
        <v>120</v>
      </c>
      <c r="H23" s="69" t="s">
        <v>121</v>
      </c>
      <c r="I23" s="59" t="s">
        <v>90</v>
      </c>
      <c r="J23" s="50" t="s">
        <v>28</v>
      </c>
      <c r="K23" s="23">
        <v>2019</v>
      </c>
      <c r="L23" s="69"/>
      <c r="M23" s="23">
        <v>3</v>
      </c>
      <c r="N23" s="51"/>
      <c r="O23" s="92" t="s">
        <v>122</v>
      </c>
    </row>
    <row r="24" spans="1:16" ht="29.25" customHeight="1">
      <c r="A24" s="39">
        <v>5</v>
      </c>
      <c r="B24" s="15">
        <v>8017</v>
      </c>
      <c r="C24" s="20" t="s">
        <v>123</v>
      </c>
      <c r="D24" s="21" t="s">
        <v>124</v>
      </c>
      <c r="E24" s="22" t="s">
        <v>23</v>
      </c>
      <c r="F24" s="23" t="s">
        <v>24</v>
      </c>
      <c r="G24" s="24" t="s">
        <v>125</v>
      </c>
      <c r="H24" s="69" t="s">
        <v>126</v>
      </c>
      <c r="I24" s="49" t="s">
        <v>127</v>
      </c>
      <c r="J24" s="50" t="s">
        <v>28</v>
      </c>
      <c r="K24" s="23">
        <v>2019</v>
      </c>
      <c r="L24" s="68"/>
      <c r="M24" s="55">
        <v>59</v>
      </c>
      <c r="N24" s="51"/>
      <c r="O24" s="101" t="s">
        <v>128</v>
      </c>
    </row>
    <row r="25" spans="1:16" ht="29.25" customHeight="1">
      <c r="A25" s="39">
        <v>15</v>
      </c>
      <c r="B25" s="15">
        <v>8018</v>
      </c>
      <c r="C25" s="20" t="s">
        <v>129</v>
      </c>
      <c r="D25" s="21" t="s">
        <v>130</v>
      </c>
      <c r="E25" s="22" t="s">
        <v>33</v>
      </c>
      <c r="F25" s="23" t="s">
        <v>34</v>
      </c>
      <c r="G25" s="24" t="s">
        <v>131</v>
      </c>
      <c r="H25" s="69" t="s">
        <v>132</v>
      </c>
      <c r="I25" s="59" t="s">
        <v>133</v>
      </c>
      <c r="J25" s="50" t="s">
        <v>28</v>
      </c>
      <c r="K25" s="23">
        <v>2019</v>
      </c>
      <c r="L25" s="69"/>
      <c r="M25" s="23">
        <v>49</v>
      </c>
      <c r="N25" s="51"/>
      <c r="O25" s="92" t="s">
        <v>134</v>
      </c>
    </row>
    <row r="26" spans="1:16" ht="30" customHeight="1">
      <c r="A26" s="39">
        <v>16</v>
      </c>
      <c r="B26" s="15">
        <v>8019</v>
      </c>
      <c r="C26" s="20" t="s">
        <v>135</v>
      </c>
      <c r="D26" s="21" t="s">
        <v>136</v>
      </c>
      <c r="E26" s="22" t="s">
        <v>33</v>
      </c>
      <c r="F26" s="23" t="s">
        <v>34</v>
      </c>
      <c r="G26" s="24" t="s">
        <v>137</v>
      </c>
      <c r="H26" s="69" t="s">
        <v>138</v>
      </c>
      <c r="I26" s="59" t="s">
        <v>37</v>
      </c>
      <c r="J26" s="50" t="s">
        <v>28</v>
      </c>
      <c r="K26" s="23">
        <v>2019</v>
      </c>
      <c r="L26" s="69"/>
      <c r="M26" s="23">
        <v>18</v>
      </c>
      <c r="N26" s="51"/>
      <c r="O26" s="92" t="s">
        <v>139</v>
      </c>
    </row>
    <row r="27" spans="1:16" ht="29.25" customHeight="1">
      <c r="A27" s="39">
        <v>9</v>
      </c>
      <c r="B27" s="15">
        <v>8020</v>
      </c>
      <c r="C27" s="20" t="s">
        <v>140</v>
      </c>
      <c r="D27" s="21" t="s">
        <v>141</v>
      </c>
      <c r="E27" s="22" t="s">
        <v>33</v>
      </c>
      <c r="F27" s="23" t="s">
        <v>34</v>
      </c>
      <c r="G27" s="24" t="s">
        <v>142</v>
      </c>
      <c r="H27" s="69" t="s">
        <v>143</v>
      </c>
      <c r="I27" s="70" t="s">
        <v>111</v>
      </c>
      <c r="J27" s="50" t="s">
        <v>28</v>
      </c>
      <c r="K27" s="23">
        <v>2019</v>
      </c>
      <c r="L27" s="68"/>
      <c r="M27" s="55">
        <v>6</v>
      </c>
      <c r="N27" s="51"/>
      <c r="O27" s="101" t="s">
        <v>144</v>
      </c>
    </row>
    <row r="28" spans="1:16" ht="29.25" customHeight="1">
      <c r="A28" s="39">
        <v>2</v>
      </c>
      <c r="B28" s="15">
        <v>8021</v>
      </c>
      <c r="C28" s="20" t="s">
        <v>145</v>
      </c>
      <c r="D28" s="21" t="s">
        <v>146</v>
      </c>
      <c r="E28" s="22" t="s">
        <v>33</v>
      </c>
      <c r="F28" s="23" t="s">
        <v>34</v>
      </c>
      <c r="G28" s="24" t="s">
        <v>41</v>
      </c>
      <c r="H28" s="69" t="s">
        <v>42</v>
      </c>
      <c r="I28" s="49" t="s">
        <v>147</v>
      </c>
      <c r="J28" s="50" t="s">
        <v>148</v>
      </c>
      <c r="K28" s="23">
        <v>2019</v>
      </c>
      <c r="L28" s="68"/>
      <c r="M28" s="55">
        <v>39</v>
      </c>
      <c r="N28" s="51"/>
      <c r="O28" s="101" t="s">
        <v>149</v>
      </c>
    </row>
    <row r="29" spans="1:16" ht="29.25" customHeight="1">
      <c r="A29" s="39">
        <v>4</v>
      </c>
      <c r="B29" s="15">
        <v>8022</v>
      </c>
      <c r="C29" s="20" t="s">
        <v>150</v>
      </c>
      <c r="D29" s="21" t="s">
        <v>151</v>
      </c>
      <c r="E29" s="22" t="s">
        <v>33</v>
      </c>
      <c r="F29" s="23" t="s">
        <v>34</v>
      </c>
      <c r="G29" s="24" t="s">
        <v>152</v>
      </c>
      <c r="H29" s="69" t="s">
        <v>153</v>
      </c>
      <c r="I29" s="49" t="s">
        <v>154</v>
      </c>
      <c r="J29" s="50" t="s">
        <v>62</v>
      </c>
      <c r="K29" s="23">
        <v>2019</v>
      </c>
      <c r="L29" s="68"/>
      <c r="M29" s="55">
        <v>1</v>
      </c>
      <c r="N29" s="51"/>
      <c r="O29" s="101" t="s">
        <v>155</v>
      </c>
    </row>
    <row r="30" spans="1:16" ht="29.25" customHeight="1">
      <c r="A30" s="39">
        <v>24</v>
      </c>
      <c r="B30" s="15">
        <v>8296</v>
      </c>
      <c r="C30" s="20" t="s">
        <v>156</v>
      </c>
      <c r="D30" s="20" t="s">
        <v>157</v>
      </c>
      <c r="E30" s="22" t="s">
        <v>33</v>
      </c>
      <c r="F30" s="23" t="s">
        <v>34</v>
      </c>
      <c r="G30" s="24" t="s">
        <v>158</v>
      </c>
      <c r="H30" s="67" t="s">
        <v>159</v>
      </c>
      <c r="I30" s="59" t="s">
        <v>90</v>
      </c>
      <c r="J30" s="50" t="s">
        <v>28</v>
      </c>
      <c r="K30" s="23">
        <v>2019</v>
      </c>
      <c r="L30" s="68"/>
      <c r="M30" s="55">
        <v>27</v>
      </c>
      <c r="N30" t="s">
        <v>29</v>
      </c>
      <c r="O30" s="101" t="s">
        <v>160</v>
      </c>
    </row>
    <row r="31" spans="1:16" ht="29.25" customHeight="1">
      <c r="A31" s="39">
        <v>25</v>
      </c>
      <c r="B31" s="15">
        <v>8297</v>
      </c>
      <c r="C31" s="20" t="s">
        <v>161</v>
      </c>
      <c r="D31" s="21" t="s">
        <v>162</v>
      </c>
      <c r="E31" s="22" t="s">
        <v>23</v>
      </c>
      <c r="F31" s="23" t="s">
        <v>24</v>
      </c>
      <c r="G31" s="24" t="s">
        <v>163</v>
      </c>
      <c r="H31" s="69" t="s">
        <v>164</v>
      </c>
      <c r="I31" s="49" t="s">
        <v>127</v>
      </c>
      <c r="J31" s="50" t="s">
        <v>28</v>
      </c>
      <c r="K31" s="23">
        <v>2019</v>
      </c>
      <c r="L31" s="68"/>
      <c r="M31" s="55">
        <v>25</v>
      </c>
      <c r="N31" t="s">
        <v>29</v>
      </c>
      <c r="O31" s="101" t="s">
        <v>165</v>
      </c>
    </row>
    <row r="32" spans="1:16" s="2" customFormat="1" ht="29.25" customHeight="1">
      <c r="A32" s="79"/>
      <c r="B32" s="15">
        <v>8306</v>
      </c>
      <c r="C32" s="31" t="s">
        <v>166</v>
      </c>
      <c r="D32" s="32" t="s">
        <v>167</v>
      </c>
      <c r="E32" s="33" t="s">
        <v>33</v>
      </c>
      <c r="F32" s="34" t="s">
        <v>34</v>
      </c>
      <c r="G32" s="35" t="s">
        <v>168</v>
      </c>
      <c r="H32" s="80" t="s">
        <v>169</v>
      </c>
      <c r="I32" s="57" t="s">
        <v>170</v>
      </c>
      <c r="J32" s="58" t="s">
        <v>28</v>
      </c>
      <c r="K32" s="34">
        <v>2019</v>
      </c>
      <c r="L32" s="77"/>
      <c r="M32" s="84"/>
      <c r="N32" s="52"/>
      <c r="O32" s="101" t="s">
        <v>171</v>
      </c>
      <c r="P32" s="2" t="s">
        <v>172</v>
      </c>
    </row>
    <row r="33" spans="1:15" ht="29.25" customHeight="1">
      <c r="A33" s="39"/>
      <c r="B33" s="37"/>
      <c r="C33" s="20"/>
      <c r="D33" s="21"/>
      <c r="E33" s="22"/>
      <c r="F33" s="23"/>
      <c r="G33" s="24"/>
      <c r="H33" s="69"/>
      <c r="I33" s="49"/>
      <c r="J33" s="50"/>
      <c r="K33" s="23"/>
      <c r="L33" s="68"/>
      <c r="M33" s="55"/>
      <c r="N33" s="51"/>
      <c r="O33" s="101"/>
    </row>
    <row r="34" spans="1:15" ht="29.25" customHeight="1">
      <c r="A34" s="39"/>
      <c r="B34" s="37"/>
      <c r="C34" s="20"/>
      <c r="D34" s="21"/>
      <c r="E34" s="22"/>
      <c r="F34" s="23"/>
      <c r="G34" s="24"/>
      <c r="H34" s="69"/>
      <c r="I34" s="49"/>
      <c r="J34" s="50"/>
      <c r="K34" s="23"/>
      <c r="L34" s="68"/>
      <c r="M34" s="55"/>
      <c r="N34" s="51"/>
      <c r="O34" s="101"/>
    </row>
    <row r="35" spans="1:15" ht="29.25" customHeight="1">
      <c r="A35" s="39">
        <v>26</v>
      </c>
      <c r="B35" s="37"/>
      <c r="C35" s="20"/>
      <c r="D35" s="21"/>
      <c r="E35" s="22"/>
      <c r="F35" s="23"/>
      <c r="G35" s="24"/>
      <c r="H35" s="69"/>
      <c r="I35" s="49"/>
      <c r="J35" s="50"/>
      <c r="K35" s="23"/>
      <c r="L35" s="68"/>
      <c r="M35" s="55"/>
      <c r="N35" s="51"/>
      <c r="O35" s="101"/>
    </row>
    <row r="36" spans="1:15" ht="24" customHeight="1">
      <c r="A36" s="40" t="s">
        <v>173</v>
      </c>
      <c r="B36" s="3"/>
      <c r="C36" s="3"/>
      <c r="D36" s="3"/>
      <c r="E36" s="3"/>
      <c r="F36" s="3"/>
      <c r="G36" s="3"/>
      <c r="I36" s="60" t="s">
        <v>174</v>
      </c>
      <c r="J36" s="60"/>
      <c r="K36" s="60"/>
      <c r="L36" s="60"/>
      <c r="M36" s="3"/>
      <c r="N36">
        <f>COUNTIF(E5:E35,"ស្រី")</f>
        <v>22</v>
      </c>
    </row>
    <row r="37" spans="1:15" ht="24" customHeight="1">
      <c r="A37" s="3"/>
      <c r="B37" s="3"/>
      <c r="C37" s="3"/>
      <c r="D37" s="3"/>
      <c r="E37" s="3"/>
      <c r="F37" s="40"/>
      <c r="G37" s="40"/>
      <c r="H37" s="40"/>
      <c r="I37" s="140" t="s">
        <v>175</v>
      </c>
      <c r="J37" s="140"/>
      <c r="K37" s="140"/>
      <c r="L37" s="140"/>
      <c r="M37" s="61"/>
    </row>
    <row r="38" spans="1:15" ht="24" customHeight="1">
      <c r="A38" s="41"/>
      <c r="B38" s="41"/>
      <c r="C38" s="141" t="s">
        <v>176</v>
      </c>
      <c r="D38" s="141"/>
      <c r="E38" s="141"/>
      <c r="F38" s="141"/>
      <c r="G38" s="43"/>
      <c r="H38" s="43"/>
      <c r="I38" s="141" t="s">
        <v>177</v>
      </c>
      <c r="J38" s="141"/>
      <c r="K38" s="141"/>
      <c r="L38" s="141"/>
      <c r="M38" s="42"/>
      <c r="N38" s="62"/>
    </row>
    <row r="39" spans="1:15" ht="24" customHeight="1">
      <c r="A39" s="41"/>
      <c r="B39" s="41"/>
      <c r="C39" s="139" t="s">
        <v>178</v>
      </c>
      <c r="D39" s="139"/>
      <c r="E39" s="139"/>
      <c r="F39" s="139"/>
      <c r="G39" s="3"/>
      <c r="H39" s="3"/>
      <c r="I39" s="3"/>
      <c r="J39" s="3"/>
      <c r="K39" s="3"/>
      <c r="L39" s="3"/>
      <c r="M39" s="3"/>
    </row>
    <row r="40" spans="1:15" ht="24" customHeight="1">
      <c r="A40" s="41"/>
      <c r="B40" s="41"/>
      <c r="C40" s="141" t="s">
        <v>179</v>
      </c>
      <c r="D40" s="141"/>
      <c r="E40" s="141"/>
      <c r="F40" s="141"/>
      <c r="G40" s="3"/>
      <c r="H40" s="3"/>
      <c r="I40" s="3"/>
      <c r="J40" s="3"/>
      <c r="K40" s="3"/>
      <c r="L40" s="3"/>
      <c r="M40" s="3"/>
    </row>
    <row r="42" spans="1:15" ht="24" customHeight="1">
      <c r="C42" t="s">
        <v>180</v>
      </c>
      <c r="D42">
        <f>COUNTA(C7:C32)</f>
        <v>26</v>
      </c>
    </row>
    <row r="43" spans="1:15" ht="24" customHeight="1">
      <c r="C43" t="s">
        <v>33</v>
      </c>
      <c r="D43">
        <f>COUNTIF(E7:E32,E32)</f>
        <v>22</v>
      </c>
    </row>
    <row r="73" spans="1:18" s="3" customFormat="1">
      <c r="A73"/>
      <c r="B73"/>
      <c r="C73"/>
      <c r="D73"/>
      <c r="E73" s="4"/>
      <c r="F73"/>
      <c r="G73" s="4"/>
      <c r="H73"/>
      <c r="I73"/>
      <c r="J73"/>
      <c r="K73"/>
      <c r="L73"/>
      <c r="M73"/>
    </row>
    <row r="74" spans="1:18" s="3" customFormat="1">
      <c r="A74"/>
      <c r="B74"/>
      <c r="C74"/>
      <c r="D74"/>
      <c r="E74" s="4"/>
      <c r="F74"/>
      <c r="G74" s="4"/>
      <c r="H74"/>
      <c r="I74"/>
      <c r="J74"/>
      <c r="K74"/>
      <c r="L74"/>
      <c r="M74"/>
      <c r="O74" s="40">
        <f>COUNTIF(E7:E35,"ស្រី")</f>
        <v>22</v>
      </c>
      <c r="P74" s="40"/>
      <c r="Q74" s="40"/>
      <c r="R74" s="40"/>
    </row>
    <row r="75" spans="1:18" s="3" customFormat="1">
      <c r="A75"/>
      <c r="B75"/>
      <c r="C75"/>
      <c r="D75"/>
      <c r="E75" s="4"/>
      <c r="F75"/>
      <c r="G75" s="4"/>
      <c r="H75"/>
      <c r="I75"/>
      <c r="J75"/>
      <c r="K75"/>
      <c r="L75"/>
      <c r="M75"/>
      <c r="O75" s="40"/>
      <c r="P75" s="139"/>
      <c r="Q75" s="139"/>
      <c r="R75" s="139"/>
    </row>
    <row r="76" spans="1:18" s="3" customFormat="1">
      <c r="A76"/>
      <c r="B76"/>
      <c r="C76"/>
      <c r="D76"/>
      <c r="E76" s="4"/>
      <c r="F76"/>
      <c r="G76" s="4"/>
      <c r="H76"/>
      <c r="I76"/>
      <c r="J76"/>
      <c r="K76"/>
      <c r="L76"/>
      <c r="M76"/>
      <c r="P76" s="139"/>
      <c r="Q76" s="139"/>
      <c r="R76" s="139"/>
    </row>
    <row r="77" spans="1:18" s="3" customFormat="1">
      <c r="A77"/>
      <c r="B77"/>
      <c r="C77"/>
      <c r="D77"/>
      <c r="E77" s="4"/>
      <c r="F77"/>
      <c r="G77" s="4"/>
      <c r="H77"/>
      <c r="I77"/>
      <c r="J77"/>
      <c r="K77"/>
      <c r="L77"/>
      <c r="M77"/>
      <c r="P77" s="139"/>
      <c r="Q77" s="139"/>
      <c r="R77" s="139"/>
    </row>
  </sheetData>
  <mergeCells count="13">
    <mergeCell ref="I1:N1"/>
    <mergeCell ref="I2:N2"/>
    <mergeCell ref="I3:N3"/>
    <mergeCell ref="A4:L4"/>
    <mergeCell ref="A5:L5"/>
    <mergeCell ref="P75:R75"/>
    <mergeCell ref="P76:R76"/>
    <mergeCell ref="P77:R77"/>
    <mergeCell ref="I37:L37"/>
    <mergeCell ref="C38:F38"/>
    <mergeCell ref="I38:L38"/>
    <mergeCell ref="C39:F39"/>
    <mergeCell ref="C40:F40"/>
  </mergeCells>
  <pageMargins left="0.7" right="0.35" top="0.57999999999999996" bottom="1" header="0.28999999999999998" footer="0.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1"/>
  </sheetPr>
  <dimension ref="A1:R41"/>
  <sheetViews>
    <sheetView topLeftCell="A10" zoomScale="90" zoomScaleNormal="90" workbookViewId="0">
      <selection activeCell="B7" sqref="B7:B18"/>
    </sheetView>
  </sheetViews>
  <sheetFormatPr baseColWidth="10" defaultColWidth="8.6640625" defaultRowHeight="24" customHeight="1"/>
  <cols>
    <col min="1" max="1" width="6" customWidth="1"/>
    <col min="2" max="2" width="7.6640625" customWidth="1"/>
    <col min="3" max="3" width="18.5" customWidth="1"/>
    <col min="4" max="4" width="24.5" customWidth="1"/>
    <col min="5" max="5" width="7.6640625" style="4" customWidth="1"/>
    <col min="6" max="6" width="12.33203125" customWidth="1"/>
    <col min="7" max="7" width="21.6640625" style="4" customWidth="1"/>
    <col min="8" max="8" width="20.33203125" customWidth="1"/>
    <col min="9" max="9" width="21.6640625" customWidth="1"/>
    <col min="10" max="10" width="12.6640625" customWidth="1"/>
    <col min="12" max="13" width="9" customWidth="1"/>
    <col min="15" max="15" width="15.5" customWidth="1"/>
  </cols>
  <sheetData>
    <row r="1" spans="1:15" s="1" customFormat="1" ht="25.5" customHeight="1">
      <c r="A1" s="5"/>
      <c r="B1" s="5"/>
      <c r="C1" s="5"/>
      <c r="D1" s="5"/>
      <c r="E1" s="5"/>
      <c r="F1" s="5"/>
      <c r="G1" s="6"/>
      <c r="H1" s="6"/>
      <c r="I1" s="142" t="s">
        <v>0</v>
      </c>
      <c r="J1" s="142"/>
      <c r="K1" s="142"/>
      <c r="L1" s="142"/>
      <c r="M1" s="142"/>
      <c r="N1" s="142"/>
    </row>
    <row r="2" spans="1:15" s="1" customFormat="1" ht="25.5" customHeight="1">
      <c r="A2" s="7" t="s">
        <v>1</v>
      </c>
      <c r="B2" s="8"/>
      <c r="C2" s="5"/>
      <c r="D2" s="5"/>
      <c r="E2" s="5"/>
      <c r="F2" s="5"/>
      <c r="G2" s="6"/>
      <c r="H2" s="6"/>
      <c r="I2" s="142" t="s">
        <v>2</v>
      </c>
      <c r="J2" s="142"/>
      <c r="K2" s="142"/>
      <c r="L2" s="142"/>
      <c r="M2" s="142"/>
      <c r="N2" s="142"/>
    </row>
    <row r="3" spans="1:15" s="1" customFormat="1" ht="26">
      <c r="A3" s="7" t="s">
        <v>3</v>
      </c>
      <c r="B3" s="8"/>
      <c r="C3" s="5"/>
      <c r="D3" s="5"/>
      <c r="E3" s="5"/>
      <c r="F3" s="5"/>
      <c r="G3" s="9"/>
      <c r="H3" s="9"/>
      <c r="I3" s="143">
        <v>323</v>
      </c>
      <c r="J3" s="143"/>
      <c r="K3" s="143"/>
      <c r="L3" s="143"/>
      <c r="M3" s="143"/>
      <c r="N3" s="143"/>
    </row>
    <row r="4" spans="1:15" s="1" customFormat="1" ht="29">
      <c r="A4" s="144" t="s">
        <v>4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0"/>
    </row>
    <row r="5" spans="1:15" s="1" customFormat="1" ht="29.25" customHeight="1">
      <c r="A5" s="145" t="s">
        <v>181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1"/>
    </row>
    <row r="6" spans="1:15" ht="80">
      <c r="A6" s="12" t="s">
        <v>6</v>
      </c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3" t="s">
        <v>13</v>
      </c>
      <c r="I6" s="12" t="s">
        <v>14</v>
      </c>
      <c r="J6" s="12" t="s">
        <v>15</v>
      </c>
      <c r="K6" s="44" t="s">
        <v>16</v>
      </c>
      <c r="L6" s="44" t="s">
        <v>17</v>
      </c>
      <c r="M6" s="44" t="s">
        <v>18</v>
      </c>
      <c r="N6" s="12" t="s">
        <v>19</v>
      </c>
      <c r="O6" s="12" t="s">
        <v>20</v>
      </c>
    </row>
    <row r="7" spans="1:15" ht="29.25" customHeight="1">
      <c r="A7" s="39">
        <v>3</v>
      </c>
      <c r="B7" s="15">
        <v>8023</v>
      </c>
      <c r="C7" s="20" t="s">
        <v>182</v>
      </c>
      <c r="D7" s="21" t="s">
        <v>183</v>
      </c>
      <c r="E7" s="22" t="s">
        <v>33</v>
      </c>
      <c r="F7" s="23" t="s">
        <v>34</v>
      </c>
      <c r="G7" s="24" t="s">
        <v>184</v>
      </c>
      <c r="H7" s="69" t="s">
        <v>185</v>
      </c>
      <c r="I7" s="49" t="s">
        <v>186</v>
      </c>
      <c r="J7" s="50" t="s">
        <v>187</v>
      </c>
      <c r="K7" s="23">
        <v>2019</v>
      </c>
      <c r="L7" s="23"/>
      <c r="M7" s="100">
        <v>54</v>
      </c>
      <c r="N7" s="99"/>
      <c r="O7" s="91" t="s">
        <v>188</v>
      </c>
    </row>
    <row r="8" spans="1:15" ht="29.25" customHeight="1">
      <c r="A8" s="39">
        <v>9</v>
      </c>
      <c r="B8" s="15">
        <v>8024</v>
      </c>
      <c r="C8" s="20" t="s">
        <v>189</v>
      </c>
      <c r="D8" s="21" t="s">
        <v>190</v>
      </c>
      <c r="E8" s="22" t="s">
        <v>23</v>
      </c>
      <c r="F8" s="23" t="s">
        <v>24</v>
      </c>
      <c r="G8" s="24" t="s">
        <v>191</v>
      </c>
      <c r="H8" s="69" t="s">
        <v>192</v>
      </c>
      <c r="I8" s="49" t="s">
        <v>193</v>
      </c>
      <c r="J8" s="50" t="s">
        <v>194</v>
      </c>
      <c r="K8" s="23">
        <v>2019</v>
      </c>
      <c r="L8" s="54"/>
      <c r="M8" s="100">
        <v>9</v>
      </c>
      <c r="N8" s="99"/>
      <c r="O8" s="91" t="s">
        <v>195</v>
      </c>
    </row>
    <row r="9" spans="1:15" ht="29.25" customHeight="1">
      <c r="A9" s="39">
        <v>4</v>
      </c>
      <c r="B9" s="15">
        <v>8025</v>
      </c>
      <c r="C9" s="20" t="s">
        <v>196</v>
      </c>
      <c r="D9" s="21" t="s">
        <v>197</v>
      </c>
      <c r="E9" s="22" t="s">
        <v>33</v>
      </c>
      <c r="F9" s="23" t="s">
        <v>34</v>
      </c>
      <c r="G9" s="24" t="s">
        <v>198</v>
      </c>
      <c r="H9" s="69" t="s">
        <v>199</v>
      </c>
      <c r="I9" s="59" t="s">
        <v>200</v>
      </c>
      <c r="J9" s="50" t="s">
        <v>148</v>
      </c>
      <c r="K9" s="23">
        <v>2019</v>
      </c>
      <c r="L9" s="54"/>
      <c r="M9" s="100">
        <v>18</v>
      </c>
      <c r="N9" s="99"/>
      <c r="O9" s="91" t="s">
        <v>201</v>
      </c>
    </row>
    <row r="10" spans="1:15" ht="29.25" customHeight="1">
      <c r="A10" s="39">
        <v>11</v>
      </c>
      <c r="B10" s="15">
        <v>8026</v>
      </c>
      <c r="C10" s="20" t="s">
        <v>202</v>
      </c>
      <c r="D10" s="21" t="s">
        <v>203</v>
      </c>
      <c r="E10" s="22" t="s">
        <v>33</v>
      </c>
      <c r="F10" s="23" t="s">
        <v>34</v>
      </c>
      <c r="G10" s="24" t="s">
        <v>204</v>
      </c>
      <c r="H10" s="69" t="s">
        <v>205</v>
      </c>
      <c r="I10" s="49" t="s">
        <v>206</v>
      </c>
      <c r="J10" s="50" t="s">
        <v>62</v>
      </c>
      <c r="K10" s="23">
        <v>2019</v>
      </c>
      <c r="L10" s="54"/>
      <c r="M10" s="69" t="s">
        <v>207</v>
      </c>
      <c r="N10" t="s">
        <v>29</v>
      </c>
      <c r="O10" s="52" t="s">
        <v>208</v>
      </c>
    </row>
    <row r="11" spans="1:15" ht="29.25" customHeight="1">
      <c r="A11" s="39">
        <v>7</v>
      </c>
      <c r="B11" s="15">
        <v>8027</v>
      </c>
      <c r="C11" s="20" t="s">
        <v>209</v>
      </c>
      <c r="D11" s="21" t="s">
        <v>210</v>
      </c>
      <c r="E11" s="24" t="s">
        <v>33</v>
      </c>
      <c r="F11" s="22" t="s">
        <v>34</v>
      </c>
      <c r="G11" s="24" t="s">
        <v>211</v>
      </c>
      <c r="H11" s="69" t="s">
        <v>212</v>
      </c>
      <c r="I11" s="59" t="s">
        <v>84</v>
      </c>
      <c r="J11" s="50" t="s">
        <v>28</v>
      </c>
      <c r="K11" s="23">
        <v>2019</v>
      </c>
      <c r="L11" s="23"/>
      <c r="M11" s="100">
        <v>11</v>
      </c>
      <c r="N11" s="99"/>
      <c r="O11" s="91" t="s">
        <v>213</v>
      </c>
    </row>
    <row r="12" spans="1:15" ht="29.25" customHeight="1">
      <c r="A12" s="39">
        <v>2</v>
      </c>
      <c r="B12" s="15">
        <v>8028</v>
      </c>
      <c r="C12" s="20" t="s">
        <v>214</v>
      </c>
      <c r="D12" s="21" t="s">
        <v>215</v>
      </c>
      <c r="E12" s="22" t="s">
        <v>23</v>
      </c>
      <c r="F12" s="23" t="s">
        <v>24</v>
      </c>
      <c r="G12" s="24" t="s">
        <v>216</v>
      </c>
      <c r="H12" s="69" t="s">
        <v>217</v>
      </c>
      <c r="I12" s="70" t="s">
        <v>218</v>
      </c>
      <c r="J12" s="50" t="s">
        <v>219</v>
      </c>
      <c r="K12" s="23">
        <v>2019</v>
      </c>
      <c r="L12" s="54"/>
      <c r="M12" s="100">
        <v>40</v>
      </c>
      <c r="N12" s="99"/>
      <c r="O12" s="91" t="s">
        <v>220</v>
      </c>
    </row>
    <row r="13" spans="1:15" ht="29.25" customHeight="1">
      <c r="A13" s="39">
        <v>8</v>
      </c>
      <c r="B13" s="15">
        <v>8029</v>
      </c>
      <c r="C13" s="20" t="s">
        <v>221</v>
      </c>
      <c r="D13" s="21" t="s">
        <v>222</v>
      </c>
      <c r="E13" s="22" t="s">
        <v>33</v>
      </c>
      <c r="F13" s="23" t="s">
        <v>34</v>
      </c>
      <c r="G13" s="24" t="s">
        <v>223</v>
      </c>
      <c r="H13" s="69" t="s">
        <v>224</v>
      </c>
      <c r="I13" s="59" t="s">
        <v>225</v>
      </c>
      <c r="J13" s="50" t="s">
        <v>194</v>
      </c>
      <c r="K13" s="23">
        <v>2019</v>
      </c>
      <c r="L13" s="54"/>
      <c r="M13" s="100">
        <v>51</v>
      </c>
      <c r="N13" s="99"/>
      <c r="O13" s="91" t="s">
        <v>226</v>
      </c>
    </row>
    <row r="14" spans="1:15" ht="29.25" customHeight="1">
      <c r="A14" s="39">
        <v>6</v>
      </c>
      <c r="B14" s="15">
        <v>8030</v>
      </c>
      <c r="C14" s="20" t="s">
        <v>227</v>
      </c>
      <c r="D14" s="21" t="s">
        <v>228</v>
      </c>
      <c r="E14" s="22" t="s">
        <v>23</v>
      </c>
      <c r="F14" s="23" t="s">
        <v>24</v>
      </c>
      <c r="G14" s="24" t="s">
        <v>229</v>
      </c>
      <c r="H14" s="69" t="s">
        <v>230</v>
      </c>
      <c r="I14" s="49" t="s">
        <v>133</v>
      </c>
      <c r="J14" s="50" t="s">
        <v>28</v>
      </c>
      <c r="K14" s="23">
        <v>2019</v>
      </c>
      <c r="L14" s="68"/>
      <c r="M14" s="100">
        <v>14</v>
      </c>
      <c r="N14" s="99"/>
      <c r="O14" s="91" t="s">
        <v>231</v>
      </c>
    </row>
    <row r="15" spans="1:15" ht="29.25" customHeight="1">
      <c r="A15" s="39">
        <v>10</v>
      </c>
      <c r="B15" s="15">
        <v>8031</v>
      </c>
      <c r="C15" s="20" t="s">
        <v>232</v>
      </c>
      <c r="D15" s="21" t="s">
        <v>233</v>
      </c>
      <c r="E15" s="22" t="s">
        <v>23</v>
      </c>
      <c r="F15" s="23" t="s">
        <v>24</v>
      </c>
      <c r="G15" s="24" t="s">
        <v>234</v>
      </c>
      <c r="H15" s="69" t="s">
        <v>235</v>
      </c>
      <c r="I15" s="49" t="s">
        <v>236</v>
      </c>
      <c r="J15" s="50" t="s">
        <v>28</v>
      </c>
      <c r="K15" s="23">
        <v>2019</v>
      </c>
      <c r="L15" s="54"/>
      <c r="M15" s="100">
        <v>27</v>
      </c>
      <c r="N15" t="s">
        <v>29</v>
      </c>
      <c r="O15" s="91" t="s">
        <v>237</v>
      </c>
    </row>
    <row r="16" spans="1:15" ht="29.25" customHeight="1">
      <c r="A16" s="39">
        <v>5</v>
      </c>
      <c r="B16" s="15">
        <v>8032</v>
      </c>
      <c r="C16" s="20" t="s">
        <v>238</v>
      </c>
      <c r="D16" s="21" t="s">
        <v>239</v>
      </c>
      <c r="E16" s="22" t="s">
        <v>33</v>
      </c>
      <c r="F16" s="23" t="s">
        <v>34</v>
      </c>
      <c r="G16" s="24" t="s">
        <v>240</v>
      </c>
      <c r="H16" s="69" t="s">
        <v>138</v>
      </c>
      <c r="I16" s="49" t="s">
        <v>49</v>
      </c>
      <c r="J16" s="50" t="s">
        <v>28</v>
      </c>
      <c r="K16" s="23">
        <v>2019</v>
      </c>
      <c r="L16" s="68"/>
      <c r="M16" s="100">
        <v>23</v>
      </c>
      <c r="N16" s="99"/>
      <c r="O16" s="91" t="s">
        <v>241</v>
      </c>
    </row>
    <row r="17" spans="1:15" ht="29.25" customHeight="1">
      <c r="A17" s="39">
        <v>1</v>
      </c>
      <c r="B17" s="15">
        <v>8033</v>
      </c>
      <c r="C17" s="20" t="s">
        <v>242</v>
      </c>
      <c r="D17" s="21" t="s">
        <v>243</v>
      </c>
      <c r="E17" s="22" t="s">
        <v>33</v>
      </c>
      <c r="F17" s="23" t="s">
        <v>34</v>
      </c>
      <c r="G17" s="24" t="s">
        <v>244</v>
      </c>
      <c r="H17" s="69" t="s">
        <v>245</v>
      </c>
      <c r="I17" s="59" t="s">
        <v>111</v>
      </c>
      <c r="J17" s="50" t="s">
        <v>28</v>
      </c>
      <c r="K17" s="23">
        <v>2019</v>
      </c>
      <c r="L17" s="23"/>
      <c r="M17" s="100">
        <v>59</v>
      </c>
      <c r="N17" s="99"/>
      <c r="O17" s="91" t="s">
        <v>246</v>
      </c>
    </row>
    <row r="18" spans="1:15" ht="29.25" customHeight="1">
      <c r="A18" s="39">
        <v>12</v>
      </c>
      <c r="B18" s="15">
        <v>8034</v>
      </c>
      <c r="C18" s="20" t="s">
        <v>247</v>
      </c>
      <c r="D18" s="21" t="s">
        <v>248</v>
      </c>
      <c r="E18" s="22" t="s">
        <v>33</v>
      </c>
      <c r="F18" s="23" t="s">
        <v>34</v>
      </c>
      <c r="G18" s="24" t="s">
        <v>249</v>
      </c>
      <c r="H18" s="69" t="s">
        <v>250</v>
      </c>
      <c r="I18" s="49" t="s">
        <v>251</v>
      </c>
      <c r="J18" s="50" t="s">
        <v>28</v>
      </c>
      <c r="K18" s="23">
        <v>2019</v>
      </c>
      <c r="L18" s="54"/>
      <c r="M18" s="69" t="s">
        <v>252</v>
      </c>
      <c r="N18" t="s">
        <v>29</v>
      </c>
      <c r="O18" s="52" t="s">
        <v>253</v>
      </c>
    </row>
    <row r="19" spans="1:15" ht="29.25" customHeight="1">
      <c r="A19" s="39">
        <v>13</v>
      </c>
      <c r="B19" s="37"/>
      <c r="C19" s="20"/>
      <c r="D19" s="21"/>
      <c r="E19" s="22"/>
      <c r="F19" s="23"/>
      <c r="G19" s="24"/>
      <c r="H19" s="69"/>
      <c r="I19" s="49"/>
      <c r="J19" s="50"/>
      <c r="K19" s="23"/>
      <c r="L19" s="54"/>
      <c r="M19" s="55"/>
      <c r="N19" s="51"/>
      <c r="O19" s="52"/>
    </row>
    <row r="20" spans="1:15" ht="29.25" customHeight="1">
      <c r="A20" s="39">
        <v>14</v>
      </c>
      <c r="B20" s="37"/>
      <c r="C20" s="20"/>
      <c r="D20" s="21"/>
      <c r="E20" s="22"/>
      <c r="F20" s="23"/>
      <c r="G20" s="24"/>
      <c r="H20" s="69"/>
      <c r="I20" s="49"/>
      <c r="J20" s="50"/>
      <c r="K20" s="23"/>
      <c r="L20" s="54"/>
      <c r="M20" s="55"/>
      <c r="N20" s="51"/>
      <c r="O20" s="52"/>
    </row>
    <row r="21" spans="1:15" ht="29.25" customHeight="1">
      <c r="A21" s="39">
        <v>15</v>
      </c>
      <c r="B21" s="37"/>
      <c r="C21" s="20"/>
      <c r="D21" s="21"/>
      <c r="E21" s="22"/>
      <c r="F21" s="23"/>
      <c r="G21" s="24"/>
      <c r="H21" s="69"/>
      <c r="I21" s="49"/>
      <c r="J21" s="50"/>
      <c r="K21" s="23"/>
      <c r="L21" s="54"/>
      <c r="M21" s="55"/>
      <c r="N21" s="51"/>
      <c r="O21" s="52"/>
    </row>
    <row r="22" spans="1:15" ht="29.25" customHeight="1">
      <c r="A22" s="39">
        <v>16</v>
      </c>
      <c r="B22" s="37"/>
      <c r="C22" s="20"/>
      <c r="D22" s="21"/>
      <c r="E22" s="22"/>
      <c r="F22" s="23"/>
      <c r="G22" s="24"/>
      <c r="H22" s="69"/>
      <c r="I22" s="49"/>
      <c r="J22" s="50"/>
      <c r="K22" s="23"/>
      <c r="L22" s="54"/>
      <c r="M22" s="55"/>
      <c r="N22" s="51"/>
      <c r="O22" s="52"/>
    </row>
    <row r="23" spans="1:15" ht="29.25" customHeight="1">
      <c r="A23" s="39">
        <v>39</v>
      </c>
      <c r="B23" s="37"/>
      <c r="C23" s="20"/>
      <c r="D23" s="21"/>
      <c r="E23" s="22"/>
      <c r="F23" s="23"/>
      <c r="G23" s="24"/>
      <c r="H23" s="67"/>
      <c r="I23" s="59"/>
      <c r="J23" s="50"/>
      <c r="K23" s="23"/>
      <c r="L23" s="23"/>
      <c r="M23" s="23"/>
      <c r="N23" s="51"/>
      <c r="O23" s="52"/>
    </row>
    <row r="24" spans="1:15" ht="24" customHeight="1">
      <c r="A24" s="40" t="s">
        <v>173</v>
      </c>
      <c r="B24" s="3"/>
      <c r="C24" s="3"/>
      <c r="D24" s="3"/>
      <c r="E24" s="3"/>
      <c r="F24" s="3"/>
      <c r="G24" s="3"/>
      <c r="I24" s="60" t="s">
        <v>174</v>
      </c>
      <c r="J24" s="60"/>
      <c r="K24" s="60"/>
      <c r="L24" s="60"/>
      <c r="M24" s="3"/>
      <c r="N24">
        <f>COUNTIF(E5:E23,"ស្រី")</f>
        <v>8</v>
      </c>
    </row>
    <row r="25" spans="1:15" ht="24" customHeight="1">
      <c r="A25" s="3"/>
      <c r="B25" s="3"/>
      <c r="C25" s="3"/>
      <c r="D25" s="3"/>
      <c r="E25" s="3"/>
      <c r="F25" s="40"/>
      <c r="G25" s="40"/>
      <c r="H25" s="40"/>
      <c r="I25" s="140" t="s">
        <v>175</v>
      </c>
      <c r="J25" s="140"/>
      <c r="K25" s="140"/>
      <c r="L25" s="140"/>
      <c r="M25" s="61"/>
    </row>
    <row r="26" spans="1:15" ht="24" customHeight="1">
      <c r="A26" s="41"/>
      <c r="B26" s="41"/>
      <c r="C26" s="141" t="s">
        <v>176</v>
      </c>
      <c r="D26" s="141"/>
      <c r="E26" s="141"/>
      <c r="F26" s="141"/>
      <c r="G26" s="43"/>
      <c r="H26" s="43"/>
      <c r="I26" s="141" t="s">
        <v>177</v>
      </c>
      <c r="J26" s="141"/>
      <c r="K26" s="141"/>
      <c r="L26" s="141"/>
      <c r="M26" s="42"/>
      <c r="N26" s="62"/>
    </row>
    <row r="27" spans="1:15" ht="24" customHeight="1">
      <c r="A27" s="41"/>
      <c r="B27" s="41"/>
      <c r="C27" s="139" t="s">
        <v>178</v>
      </c>
      <c r="D27" s="139"/>
      <c r="E27" s="139"/>
      <c r="F27" s="139"/>
      <c r="G27" s="3"/>
      <c r="H27" s="3"/>
      <c r="I27" s="3"/>
      <c r="J27" s="3"/>
      <c r="K27" s="3"/>
      <c r="L27" s="3"/>
      <c r="M27" s="3"/>
    </row>
    <row r="28" spans="1:15" ht="24" customHeight="1">
      <c r="A28" s="41"/>
      <c r="B28" s="41"/>
      <c r="C28" s="141" t="s">
        <v>179</v>
      </c>
      <c r="D28" s="141"/>
      <c r="E28" s="141"/>
      <c r="F28" s="141"/>
      <c r="G28" s="3"/>
      <c r="H28" s="3"/>
      <c r="I28" s="3"/>
      <c r="J28" s="3"/>
      <c r="K28" s="3"/>
      <c r="L28" s="3"/>
      <c r="M28" s="3"/>
    </row>
    <row r="30" spans="1:15" ht="24" customHeight="1">
      <c r="C30" t="s">
        <v>254</v>
      </c>
      <c r="D30">
        <f>COUNTA(C7:C18)</f>
        <v>12</v>
      </c>
    </row>
    <row r="31" spans="1:15" ht="24" customHeight="1">
      <c r="C31" t="s">
        <v>255</v>
      </c>
      <c r="D31">
        <f>COUNTIF(E7:E18,E18)</f>
        <v>8</v>
      </c>
    </row>
    <row r="37" spans="1:18" s="3" customFormat="1">
      <c r="A37"/>
      <c r="B37"/>
      <c r="C37"/>
      <c r="D37"/>
      <c r="E37" s="4"/>
      <c r="F37"/>
      <c r="G37" s="4"/>
      <c r="H37"/>
      <c r="I37"/>
      <c r="J37"/>
      <c r="K37"/>
      <c r="L37"/>
      <c r="M37"/>
    </row>
    <row r="38" spans="1:18" s="3" customFormat="1">
      <c r="A38"/>
      <c r="B38"/>
      <c r="C38"/>
      <c r="D38"/>
      <c r="E38" s="4"/>
      <c r="F38"/>
      <c r="G38" s="4"/>
      <c r="H38"/>
      <c r="I38"/>
      <c r="J38"/>
      <c r="K38"/>
      <c r="L38"/>
      <c r="M38"/>
      <c r="O38" s="40">
        <f>COUNTIF(E7:E21,"ស្រី")</f>
        <v>8</v>
      </c>
      <c r="P38" s="40"/>
      <c r="Q38" s="40"/>
      <c r="R38" s="40"/>
    </row>
    <row r="39" spans="1:18" s="3" customFormat="1">
      <c r="A39"/>
      <c r="B39"/>
      <c r="C39"/>
      <c r="D39"/>
      <c r="E39" s="4"/>
      <c r="F39"/>
      <c r="G39" s="4"/>
      <c r="H39"/>
      <c r="I39"/>
      <c r="J39"/>
      <c r="K39"/>
      <c r="L39"/>
      <c r="M39"/>
      <c r="O39" s="40"/>
      <c r="P39" s="139"/>
      <c r="Q39" s="139"/>
      <c r="R39" s="139"/>
    </row>
    <row r="40" spans="1:18" s="3" customFormat="1">
      <c r="A40"/>
      <c r="B40"/>
      <c r="C40"/>
      <c r="D40"/>
      <c r="E40" s="4"/>
      <c r="F40"/>
      <c r="G40" s="4"/>
      <c r="H40"/>
      <c r="I40"/>
      <c r="J40"/>
      <c r="K40"/>
      <c r="L40"/>
      <c r="M40"/>
      <c r="P40" s="139"/>
      <c r="Q40" s="139"/>
      <c r="R40" s="139"/>
    </row>
    <row r="41" spans="1:18" s="3" customFormat="1">
      <c r="A41"/>
      <c r="B41"/>
      <c r="C41"/>
      <c r="D41"/>
      <c r="E41" s="4"/>
      <c r="F41"/>
      <c r="G41" s="4"/>
      <c r="H41"/>
      <c r="I41"/>
      <c r="J41"/>
      <c r="K41"/>
      <c r="L41"/>
      <c r="M41"/>
      <c r="P41" s="139"/>
      <c r="Q41" s="139"/>
      <c r="R41" s="139"/>
    </row>
  </sheetData>
  <mergeCells count="13">
    <mergeCell ref="I1:N1"/>
    <mergeCell ref="I2:N2"/>
    <mergeCell ref="I3:N3"/>
    <mergeCell ref="A4:L4"/>
    <mergeCell ref="A5:L5"/>
    <mergeCell ref="P39:R39"/>
    <mergeCell ref="P40:R40"/>
    <mergeCell ref="P41:R41"/>
    <mergeCell ref="I25:L25"/>
    <mergeCell ref="C26:F26"/>
    <mergeCell ref="I26:L26"/>
    <mergeCell ref="C27:F27"/>
    <mergeCell ref="C28:F28"/>
  </mergeCells>
  <conditionalFormatting sqref="M7:M16">
    <cfRule type="containsText" dxfId="15" priority="1" stopIfTrue="1" operator="containsText" text="១">
      <formula>NOT(ISERROR(SEARCH("១",M7)))</formula>
    </cfRule>
  </conditionalFormatting>
  <printOptions horizontalCentered="1"/>
  <pageMargins left="0.31" right="0.35" top="0.57999999999999996" bottom="1" header="0.28999999999999998" footer="0.5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8221-04ED-45E3-BF52-3549E79114E9}">
  <dimension ref="A1:W24"/>
  <sheetViews>
    <sheetView tabSelected="1" topLeftCell="A5" zoomScale="109" workbookViewId="0">
      <selection activeCell="R18" sqref="R18"/>
    </sheetView>
  </sheetViews>
  <sheetFormatPr baseColWidth="10" defaultColWidth="9.1640625" defaultRowHeight="13"/>
  <cols>
    <col min="1" max="1" width="5.1640625" style="102" customWidth="1"/>
    <col min="2" max="2" width="8.1640625" style="102" customWidth="1"/>
    <col min="3" max="3" width="14.83203125" style="102" customWidth="1"/>
    <col min="4" max="4" width="26.5" style="102" customWidth="1"/>
    <col min="5" max="5" width="5.5" style="102" bestFit="1" customWidth="1"/>
    <col min="6" max="6" width="17.83203125" style="102" bestFit="1" customWidth="1"/>
    <col min="7" max="18" width="3.5" style="102" customWidth="1"/>
    <col min="19" max="20" width="5.83203125" style="102" customWidth="1"/>
    <col min="21" max="23" width="7.83203125" style="102" customWidth="1"/>
    <col min="24" max="16384" width="9.1640625" style="102"/>
  </cols>
  <sheetData>
    <row r="1" spans="1:23" ht="25.5" customHeight="1">
      <c r="A1" s="149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</row>
    <row r="2" spans="1:23" ht="25.5" customHeight="1">
      <c r="A2" s="103" t="s">
        <v>1</v>
      </c>
      <c r="B2" s="104"/>
      <c r="C2" s="105"/>
      <c r="D2" s="105"/>
      <c r="E2" s="149" t="s">
        <v>2</v>
      </c>
      <c r="F2" s="149"/>
      <c r="G2" s="149"/>
      <c r="H2" s="149"/>
      <c r="I2" s="149"/>
      <c r="J2" s="149"/>
      <c r="K2" s="149"/>
      <c r="L2" s="149"/>
    </row>
    <row r="3" spans="1:23" ht="26">
      <c r="A3" s="103" t="s">
        <v>256</v>
      </c>
      <c r="B3" s="104"/>
      <c r="C3" s="105"/>
      <c r="D3" s="105"/>
      <c r="E3" s="150">
        <v>323</v>
      </c>
      <c r="F3" s="150"/>
      <c r="G3" s="150"/>
      <c r="H3" s="150"/>
      <c r="I3" s="150"/>
      <c r="J3" s="150"/>
      <c r="K3" s="150"/>
      <c r="L3" s="150"/>
    </row>
    <row r="4" spans="1:23" ht="26">
      <c r="A4" s="151" t="s">
        <v>1248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</row>
    <row r="5" spans="1:23" ht="27" thickBot="1">
      <c r="A5" s="151" t="s">
        <v>1192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</row>
    <row r="6" spans="1:23" ht="26">
      <c r="A6" s="147" t="s">
        <v>6</v>
      </c>
      <c r="B6" s="148" t="s">
        <v>7</v>
      </c>
      <c r="C6" s="147" t="s">
        <v>1191</v>
      </c>
      <c r="D6" s="148" t="s">
        <v>9</v>
      </c>
      <c r="E6" s="148" t="s">
        <v>10</v>
      </c>
      <c r="F6" s="148" t="s">
        <v>12</v>
      </c>
      <c r="G6" s="152" t="s">
        <v>1193</v>
      </c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3" t="s">
        <v>1199</v>
      </c>
      <c r="T6" s="154"/>
      <c r="U6" s="157" t="s">
        <v>1200</v>
      </c>
      <c r="V6" s="158"/>
      <c r="W6" s="159"/>
    </row>
    <row r="7" spans="1:23" ht="27" thickBot="1">
      <c r="A7" s="147"/>
      <c r="B7" s="148"/>
      <c r="C7" s="147"/>
      <c r="D7" s="148"/>
      <c r="E7" s="148"/>
      <c r="F7" s="148"/>
      <c r="G7" s="152" t="s">
        <v>1194</v>
      </c>
      <c r="H7" s="152"/>
      <c r="I7" s="152"/>
      <c r="J7" s="152"/>
      <c r="K7" s="152" t="s">
        <v>1195</v>
      </c>
      <c r="L7" s="152"/>
      <c r="M7" s="152"/>
      <c r="N7" s="152"/>
      <c r="O7" s="152" t="s">
        <v>1196</v>
      </c>
      <c r="P7" s="152"/>
      <c r="Q7" s="152"/>
      <c r="R7" s="152"/>
      <c r="S7" s="155"/>
      <c r="T7" s="156"/>
      <c r="U7" s="106" t="s">
        <v>1204</v>
      </c>
      <c r="V7" s="107"/>
      <c r="W7" s="108"/>
    </row>
    <row r="8" spans="1:23" ht="27" thickBot="1">
      <c r="A8" s="147"/>
      <c r="B8" s="148"/>
      <c r="C8" s="147"/>
      <c r="D8" s="148"/>
      <c r="E8" s="148"/>
      <c r="F8" s="148"/>
      <c r="G8" s="152" t="s">
        <v>1197</v>
      </c>
      <c r="H8" s="152"/>
      <c r="I8" s="152" t="s">
        <v>1198</v>
      </c>
      <c r="J8" s="152"/>
      <c r="K8" s="152" t="s">
        <v>1197</v>
      </c>
      <c r="L8" s="152"/>
      <c r="M8" s="152" t="s">
        <v>1198</v>
      </c>
      <c r="N8" s="152"/>
      <c r="O8" s="152" t="s">
        <v>1197</v>
      </c>
      <c r="P8" s="152"/>
      <c r="Q8" s="152" t="s">
        <v>1198</v>
      </c>
      <c r="R8" s="152"/>
      <c r="S8" s="160"/>
      <c r="T8" s="161"/>
      <c r="U8" s="109" t="s">
        <v>1201</v>
      </c>
      <c r="V8" s="110" t="s">
        <v>1202</v>
      </c>
      <c r="W8" s="111" t="s">
        <v>1203</v>
      </c>
    </row>
    <row r="9" spans="1:23" ht="24" customHeight="1" thickBot="1">
      <c r="A9" s="112">
        <v>1</v>
      </c>
      <c r="B9" s="113">
        <v>9970</v>
      </c>
      <c r="C9" s="114" t="s">
        <v>1205</v>
      </c>
      <c r="D9" s="115" t="s">
        <v>1206</v>
      </c>
      <c r="E9" s="116" t="s">
        <v>33</v>
      </c>
      <c r="F9" s="117" t="s">
        <v>1233</v>
      </c>
      <c r="G9" s="118" t="s">
        <v>1249</v>
      </c>
      <c r="H9" s="118" t="s">
        <v>1249</v>
      </c>
      <c r="I9" s="119" t="s">
        <v>1249</v>
      </c>
      <c r="J9" s="118" t="s">
        <v>1249</v>
      </c>
      <c r="K9" s="119" t="s">
        <v>1249</v>
      </c>
      <c r="L9" s="119" t="s">
        <v>1249</v>
      </c>
      <c r="M9" s="119" t="s">
        <v>1249</v>
      </c>
      <c r="N9" s="119" t="s">
        <v>1249</v>
      </c>
      <c r="O9" s="119" t="s">
        <v>1249</v>
      </c>
      <c r="P9" s="119" t="s">
        <v>1249</v>
      </c>
      <c r="Q9" s="119"/>
      <c r="R9" s="119"/>
      <c r="S9" s="120"/>
      <c r="T9" s="121"/>
      <c r="U9" s="122">
        <v>0</v>
      </c>
      <c r="V9" s="123">
        <v>0</v>
      </c>
      <c r="W9" s="124">
        <v>0</v>
      </c>
    </row>
    <row r="10" spans="1:23" ht="24" customHeight="1" thickBot="1">
      <c r="A10" s="112">
        <v>2</v>
      </c>
      <c r="B10" s="113">
        <v>9971</v>
      </c>
      <c r="C10" s="114" t="s">
        <v>1207</v>
      </c>
      <c r="D10" s="115" t="s">
        <v>1208</v>
      </c>
      <c r="E10" s="116" t="s">
        <v>33</v>
      </c>
      <c r="F10" s="125" t="s">
        <v>1234</v>
      </c>
      <c r="G10" s="118" t="s">
        <v>1249</v>
      </c>
      <c r="H10" s="118" t="s">
        <v>1249</v>
      </c>
      <c r="I10" s="119" t="s">
        <v>1249</v>
      </c>
      <c r="J10" s="118" t="s">
        <v>1249</v>
      </c>
      <c r="K10" s="119" t="s">
        <v>1249</v>
      </c>
      <c r="L10" s="119" t="s">
        <v>1249</v>
      </c>
      <c r="M10" s="119" t="s">
        <v>1249</v>
      </c>
      <c r="N10" s="119" t="s">
        <v>1249</v>
      </c>
      <c r="O10" s="119" t="s">
        <v>1249</v>
      </c>
      <c r="P10" s="119" t="s">
        <v>1249</v>
      </c>
      <c r="Q10" s="119"/>
      <c r="R10" s="119"/>
      <c r="S10" s="120"/>
      <c r="T10" s="121"/>
      <c r="U10" s="122">
        <v>0</v>
      </c>
      <c r="V10" s="123">
        <v>0</v>
      </c>
      <c r="W10" s="124">
        <v>0</v>
      </c>
    </row>
    <row r="11" spans="1:23" ht="24" customHeight="1" thickBot="1">
      <c r="A11" s="112">
        <v>3</v>
      </c>
      <c r="B11" s="113">
        <v>9973</v>
      </c>
      <c r="C11" s="114" t="s">
        <v>1209</v>
      </c>
      <c r="D11" s="115" t="s">
        <v>1210</v>
      </c>
      <c r="E11" s="116" t="s">
        <v>23</v>
      </c>
      <c r="F11" s="117" t="s">
        <v>1235</v>
      </c>
      <c r="G11" s="119" t="s">
        <v>1250</v>
      </c>
      <c r="H11" s="119" t="s">
        <v>1250</v>
      </c>
      <c r="I11" s="119" t="s">
        <v>1250</v>
      </c>
      <c r="J11" s="118" t="s">
        <v>1250</v>
      </c>
      <c r="K11" s="119" t="s">
        <v>1250</v>
      </c>
      <c r="L11" s="119" t="s">
        <v>1250</v>
      </c>
      <c r="M11" s="119" t="s">
        <v>1249</v>
      </c>
      <c r="N11" s="119" t="s">
        <v>1249</v>
      </c>
      <c r="O11" s="119" t="s">
        <v>1249</v>
      </c>
      <c r="P11" s="119" t="s">
        <v>1249</v>
      </c>
      <c r="Q11" s="119"/>
      <c r="R11" s="119"/>
      <c r="S11" s="120"/>
      <c r="T11" s="121"/>
      <c r="U11" s="122">
        <v>0</v>
      </c>
      <c r="V11" s="123">
        <v>0</v>
      </c>
      <c r="W11" s="124">
        <v>0</v>
      </c>
    </row>
    <row r="12" spans="1:23" ht="24" customHeight="1" thickBot="1">
      <c r="A12" s="112">
        <v>4</v>
      </c>
      <c r="B12" s="113">
        <v>9974</v>
      </c>
      <c r="C12" s="114" t="s">
        <v>1211</v>
      </c>
      <c r="D12" s="115" t="s">
        <v>1212</v>
      </c>
      <c r="E12" s="116" t="s">
        <v>33</v>
      </c>
      <c r="F12" s="126" t="s">
        <v>1236</v>
      </c>
      <c r="G12" s="119" t="s">
        <v>1249</v>
      </c>
      <c r="H12" s="119" t="s">
        <v>1249</v>
      </c>
      <c r="I12" s="119" t="s">
        <v>1249</v>
      </c>
      <c r="J12" s="119" t="s">
        <v>1249</v>
      </c>
      <c r="K12" s="119" t="s">
        <v>1249</v>
      </c>
      <c r="L12" s="119" t="s">
        <v>1250</v>
      </c>
      <c r="M12" s="119" t="s">
        <v>1249</v>
      </c>
      <c r="N12" s="119" t="s">
        <v>1249</v>
      </c>
      <c r="O12" s="119" t="s">
        <v>1250</v>
      </c>
      <c r="P12" s="119" t="s">
        <v>1249</v>
      </c>
      <c r="Q12" s="119"/>
      <c r="R12" s="119"/>
      <c r="S12" s="120"/>
      <c r="T12" s="121"/>
      <c r="U12" s="122">
        <v>0</v>
      </c>
      <c r="V12" s="123">
        <v>0</v>
      </c>
      <c r="W12" s="124">
        <v>0</v>
      </c>
    </row>
    <row r="13" spans="1:23" ht="24" customHeight="1" thickBot="1">
      <c r="A13" s="112">
        <v>5</v>
      </c>
      <c r="B13" s="113">
        <v>9975</v>
      </c>
      <c r="C13" s="114" t="s">
        <v>1213</v>
      </c>
      <c r="D13" s="115" t="s">
        <v>1214</v>
      </c>
      <c r="E13" s="116" t="s">
        <v>23</v>
      </c>
      <c r="F13" s="126" t="s">
        <v>1237</v>
      </c>
      <c r="G13" s="119" t="s">
        <v>1249</v>
      </c>
      <c r="H13" s="119" t="s">
        <v>1249</v>
      </c>
      <c r="I13" s="119" t="s">
        <v>1249</v>
      </c>
      <c r="J13" s="119" t="s">
        <v>1249</v>
      </c>
      <c r="K13" s="119" t="s">
        <v>1249</v>
      </c>
      <c r="L13" s="119" t="s">
        <v>1249</v>
      </c>
      <c r="M13" s="119" t="s">
        <v>1249</v>
      </c>
      <c r="N13" s="119" t="s">
        <v>1249</v>
      </c>
      <c r="O13" s="119" t="s">
        <v>1249</v>
      </c>
      <c r="P13" s="119" t="s">
        <v>1249</v>
      </c>
      <c r="Q13" s="119"/>
      <c r="R13" s="119"/>
      <c r="S13" s="120"/>
      <c r="T13" s="121"/>
      <c r="U13" s="122">
        <v>0</v>
      </c>
      <c r="V13" s="123">
        <v>0</v>
      </c>
      <c r="W13" s="124">
        <v>0</v>
      </c>
    </row>
    <row r="14" spans="1:23" ht="24" customHeight="1" thickBot="1">
      <c r="A14" s="112">
        <v>6</v>
      </c>
      <c r="B14" s="113">
        <v>9977</v>
      </c>
      <c r="C14" s="114" t="s">
        <v>1215</v>
      </c>
      <c r="D14" s="127" t="s">
        <v>1216</v>
      </c>
      <c r="E14" s="116" t="s">
        <v>23</v>
      </c>
      <c r="F14" s="117" t="s">
        <v>1238</v>
      </c>
      <c r="G14" s="119" t="s">
        <v>1249</v>
      </c>
      <c r="H14" s="119" t="s">
        <v>1250</v>
      </c>
      <c r="I14" s="119" t="s">
        <v>1251</v>
      </c>
      <c r="J14" s="119" t="s">
        <v>1249</v>
      </c>
      <c r="K14" s="119" t="s">
        <v>1250</v>
      </c>
      <c r="L14" s="119" t="s">
        <v>1249</v>
      </c>
      <c r="M14" s="119" t="s">
        <v>1249</v>
      </c>
      <c r="N14" s="119" t="s">
        <v>1249</v>
      </c>
      <c r="O14" s="119" t="s">
        <v>1250</v>
      </c>
      <c r="P14" s="119" t="s">
        <v>1249</v>
      </c>
      <c r="Q14" s="119"/>
      <c r="R14" s="119"/>
      <c r="S14" s="120"/>
      <c r="T14" s="121"/>
      <c r="U14" s="122">
        <v>0</v>
      </c>
      <c r="V14" s="123">
        <v>0</v>
      </c>
      <c r="W14" s="124">
        <v>0</v>
      </c>
    </row>
    <row r="15" spans="1:23" ht="24" customHeight="1" thickBot="1">
      <c r="A15" s="112">
        <v>7</v>
      </c>
      <c r="B15" s="113">
        <v>9986</v>
      </c>
      <c r="C15" s="114" t="s">
        <v>1217</v>
      </c>
      <c r="D15" s="127" t="s">
        <v>1218</v>
      </c>
      <c r="E15" s="116" t="s">
        <v>23</v>
      </c>
      <c r="F15" s="117" t="s">
        <v>1239</v>
      </c>
      <c r="G15" s="119" t="s">
        <v>1249</v>
      </c>
      <c r="H15" s="119" t="s">
        <v>1249</v>
      </c>
      <c r="I15" s="119" t="s">
        <v>1249</v>
      </c>
      <c r="J15" s="119" t="s">
        <v>1249</v>
      </c>
      <c r="K15" s="119" t="s">
        <v>1249</v>
      </c>
      <c r="L15" s="119" t="s">
        <v>1249</v>
      </c>
      <c r="M15" s="119" t="s">
        <v>1249</v>
      </c>
      <c r="N15" s="119" t="s">
        <v>1249</v>
      </c>
      <c r="O15" s="119" t="s">
        <v>1249</v>
      </c>
      <c r="P15" s="119" t="s">
        <v>1249</v>
      </c>
      <c r="Q15" s="119"/>
      <c r="R15" s="119"/>
      <c r="S15" s="120"/>
      <c r="T15" s="121"/>
      <c r="U15" s="122">
        <v>0</v>
      </c>
      <c r="V15" s="123">
        <v>0</v>
      </c>
      <c r="W15" s="124">
        <v>0</v>
      </c>
    </row>
    <row r="16" spans="1:23" ht="24" customHeight="1" thickBot="1">
      <c r="A16" s="112">
        <v>8</v>
      </c>
      <c r="B16" s="128">
        <v>9998</v>
      </c>
      <c r="C16" s="114" t="s">
        <v>1219</v>
      </c>
      <c r="D16" s="127" t="s">
        <v>1220</v>
      </c>
      <c r="E16" s="116" t="s">
        <v>33</v>
      </c>
      <c r="F16" s="117" t="s">
        <v>1240</v>
      </c>
      <c r="G16" s="119" t="s">
        <v>1249</v>
      </c>
      <c r="H16" s="119" t="s">
        <v>1249</v>
      </c>
      <c r="I16" s="119" t="s">
        <v>1249</v>
      </c>
      <c r="J16" s="119" t="s">
        <v>1249</v>
      </c>
      <c r="K16" s="119" t="s">
        <v>1249</v>
      </c>
      <c r="L16" s="119" t="s">
        <v>1249</v>
      </c>
      <c r="M16" s="119" t="s">
        <v>1249</v>
      </c>
      <c r="N16" s="119" t="s">
        <v>1249</v>
      </c>
      <c r="O16" s="119" t="s">
        <v>1249</v>
      </c>
      <c r="P16" s="119" t="s">
        <v>1249</v>
      </c>
      <c r="Q16" s="119"/>
      <c r="R16" s="119"/>
      <c r="S16" s="120"/>
      <c r="T16" s="121"/>
      <c r="U16" s="122">
        <v>0</v>
      </c>
      <c r="V16" s="123"/>
      <c r="W16" s="124"/>
    </row>
    <row r="17" spans="1:23" ht="24" customHeight="1" thickBot="1">
      <c r="A17" s="112">
        <v>9</v>
      </c>
      <c r="B17" s="128">
        <v>10000</v>
      </c>
      <c r="C17" s="114" t="s">
        <v>1221</v>
      </c>
      <c r="D17" s="127" t="s">
        <v>1222</v>
      </c>
      <c r="E17" s="116" t="s">
        <v>33</v>
      </c>
      <c r="F17" s="117" t="s">
        <v>1241</v>
      </c>
      <c r="G17" s="119" t="s">
        <v>1249</v>
      </c>
      <c r="H17" s="119" t="s">
        <v>1249</v>
      </c>
      <c r="I17" s="119" t="s">
        <v>1249</v>
      </c>
      <c r="J17" s="119" t="s">
        <v>1249</v>
      </c>
      <c r="K17" s="119" t="s">
        <v>1249</v>
      </c>
      <c r="L17" s="119" t="s">
        <v>1249</v>
      </c>
      <c r="M17" s="119" t="s">
        <v>1249</v>
      </c>
      <c r="N17" s="119" t="s">
        <v>1249</v>
      </c>
      <c r="O17" s="119" t="s">
        <v>1249</v>
      </c>
      <c r="P17" s="119" t="s">
        <v>1249</v>
      </c>
      <c r="Q17" s="119"/>
      <c r="R17" s="119"/>
      <c r="S17" s="120"/>
      <c r="T17" s="121"/>
      <c r="U17" s="122">
        <v>0</v>
      </c>
      <c r="V17" s="123"/>
      <c r="W17" s="124"/>
    </row>
    <row r="18" spans="1:23" ht="24" customHeight="1" thickBot="1">
      <c r="A18" s="112">
        <v>10</v>
      </c>
      <c r="B18" s="128">
        <v>10001</v>
      </c>
      <c r="C18" s="130" t="s">
        <v>1223</v>
      </c>
      <c r="D18" s="131" t="s">
        <v>1224</v>
      </c>
      <c r="E18" s="132" t="s">
        <v>23</v>
      </c>
      <c r="F18" s="117" t="s">
        <v>1242</v>
      </c>
      <c r="G18" s="119" t="s">
        <v>1250</v>
      </c>
      <c r="H18" s="119" t="s">
        <v>1249</v>
      </c>
      <c r="I18" s="119" t="s">
        <v>1250</v>
      </c>
      <c r="J18" s="119" t="s">
        <v>1249</v>
      </c>
      <c r="K18" s="119" t="s">
        <v>1250</v>
      </c>
      <c r="L18" s="119" t="s">
        <v>1249</v>
      </c>
      <c r="M18" s="119" t="s">
        <v>1249</v>
      </c>
      <c r="N18" s="119" t="s">
        <v>1249</v>
      </c>
      <c r="O18" s="119" t="s">
        <v>1250</v>
      </c>
      <c r="P18" s="119" t="s">
        <v>1249</v>
      </c>
      <c r="Q18" s="119"/>
      <c r="R18" s="119"/>
      <c r="S18" s="120"/>
      <c r="T18" s="121"/>
      <c r="U18" s="122">
        <v>0</v>
      </c>
      <c r="V18" s="123"/>
      <c r="W18" s="124"/>
    </row>
    <row r="19" spans="1:23" ht="24" customHeight="1" thickBot="1">
      <c r="A19" s="112">
        <v>11</v>
      </c>
      <c r="B19" s="128">
        <v>9978</v>
      </c>
      <c r="C19" s="130" t="s">
        <v>1225</v>
      </c>
      <c r="D19" s="131" t="s">
        <v>1226</v>
      </c>
      <c r="E19" s="132" t="s">
        <v>23</v>
      </c>
      <c r="F19" s="117" t="s">
        <v>1243</v>
      </c>
      <c r="G19" s="119" t="s">
        <v>1251</v>
      </c>
      <c r="H19" s="119" t="s">
        <v>1251</v>
      </c>
      <c r="I19" s="119" t="s">
        <v>1250</v>
      </c>
      <c r="J19" s="119" t="s">
        <v>1250</v>
      </c>
      <c r="K19" s="119" t="s">
        <v>1251</v>
      </c>
      <c r="L19" s="119" t="s">
        <v>1251</v>
      </c>
      <c r="M19" s="119" t="s">
        <v>1249</v>
      </c>
      <c r="N19" s="119" t="s">
        <v>1249</v>
      </c>
      <c r="O19" s="119" t="s">
        <v>1250</v>
      </c>
      <c r="P19" s="119" t="s">
        <v>1250</v>
      </c>
      <c r="Q19" s="119"/>
      <c r="R19" s="119"/>
      <c r="S19" s="120"/>
      <c r="T19" s="121"/>
      <c r="U19" s="122">
        <v>0</v>
      </c>
      <c r="V19" s="123"/>
      <c r="W19" s="124"/>
    </row>
    <row r="20" spans="1:23" ht="24" customHeight="1" thickBot="1">
      <c r="A20" s="112">
        <v>12</v>
      </c>
      <c r="B20" s="128">
        <v>9979</v>
      </c>
      <c r="C20" s="130" t="s">
        <v>1227</v>
      </c>
      <c r="D20" s="131" t="s">
        <v>1228</v>
      </c>
      <c r="E20" s="132" t="s">
        <v>23</v>
      </c>
      <c r="F20" s="117" t="s">
        <v>1244</v>
      </c>
      <c r="G20" s="119" t="s">
        <v>1250</v>
      </c>
      <c r="H20" s="119" t="s">
        <v>1250</v>
      </c>
      <c r="I20" s="119" t="s">
        <v>1250</v>
      </c>
      <c r="J20" s="119" t="s">
        <v>1250</v>
      </c>
      <c r="K20" s="119" t="s">
        <v>1251</v>
      </c>
      <c r="L20" s="119" t="s">
        <v>1251</v>
      </c>
      <c r="M20" s="119" t="s">
        <v>1249</v>
      </c>
      <c r="N20" s="119" t="s">
        <v>1249</v>
      </c>
      <c r="O20" s="119" t="s">
        <v>1250</v>
      </c>
      <c r="P20" s="119" t="s">
        <v>1250</v>
      </c>
      <c r="Q20" s="119"/>
      <c r="R20" s="119"/>
      <c r="S20" s="120"/>
      <c r="T20" s="121"/>
      <c r="U20" s="122">
        <v>0</v>
      </c>
      <c r="V20" s="123"/>
      <c r="W20" s="124"/>
    </row>
    <row r="21" spans="1:23" ht="24" customHeight="1" thickBot="1">
      <c r="A21" s="112">
        <v>13</v>
      </c>
      <c r="B21" s="128">
        <v>9980</v>
      </c>
      <c r="C21" s="114" t="s">
        <v>1229</v>
      </c>
      <c r="D21" s="127" t="s">
        <v>1230</v>
      </c>
      <c r="E21" s="116" t="s">
        <v>33</v>
      </c>
      <c r="F21" s="117" t="s">
        <v>1245</v>
      </c>
      <c r="G21" s="119" t="s">
        <v>1249</v>
      </c>
      <c r="H21" s="119" t="s">
        <v>1249</v>
      </c>
      <c r="I21" s="119" t="s">
        <v>1249</v>
      </c>
      <c r="J21" s="119" t="s">
        <v>1249</v>
      </c>
      <c r="K21" s="119" t="s">
        <v>1249</v>
      </c>
      <c r="L21" s="119" t="s">
        <v>1249</v>
      </c>
      <c r="M21" s="119" t="s">
        <v>1249</v>
      </c>
      <c r="N21" s="119" t="s">
        <v>1249</v>
      </c>
      <c r="O21" s="119" t="s">
        <v>1251</v>
      </c>
      <c r="P21" s="119" t="s">
        <v>1250</v>
      </c>
      <c r="Q21" s="119"/>
      <c r="R21" s="138"/>
      <c r="S21" s="120"/>
      <c r="T21" s="121"/>
      <c r="U21" s="122">
        <v>0</v>
      </c>
      <c r="V21" s="123"/>
      <c r="W21" s="124"/>
    </row>
    <row r="22" spans="1:23" ht="24" customHeight="1" thickBot="1">
      <c r="A22" s="112">
        <v>14</v>
      </c>
      <c r="B22" s="128">
        <v>9981</v>
      </c>
      <c r="C22" s="114" t="s">
        <v>1231</v>
      </c>
      <c r="D22" s="127" t="s">
        <v>1232</v>
      </c>
      <c r="E22" s="116" t="s">
        <v>23</v>
      </c>
      <c r="F22" s="133" t="s">
        <v>1246</v>
      </c>
      <c r="G22" s="119" t="s">
        <v>1250</v>
      </c>
      <c r="H22" s="119" t="s">
        <v>1250</v>
      </c>
      <c r="I22" s="119" t="s">
        <v>1250</v>
      </c>
      <c r="J22" s="119" t="s">
        <v>1250</v>
      </c>
      <c r="K22" s="119" t="s">
        <v>1249</v>
      </c>
      <c r="L22" s="119" t="s">
        <v>1249</v>
      </c>
      <c r="M22" s="119" t="s">
        <v>1249</v>
      </c>
      <c r="N22" s="119" t="s">
        <v>1249</v>
      </c>
      <c r="O22" s="119" t="s">
        <v>1250</v>
      </c>
      <c r="P22" s="119" t="s">
        <v>1250</v>
      </c>
      <c r="Q22" s="119"/>
      <c r="R22" s="119"/>
      <c r="S22" s="120"/>
      <c r="T22" s="121"/>
      <c r="U22" s="122">
        <v>0</v>
      </c>
      <c r="V22" s="123"/>
      <c r="W22" s="124"/>
    </row>
    <row r="23" spans="1:23" ht="24" customHeight="1" thickBot="1">
      <c r="A23" s="134"/>
      <c r="B23" s="135"/>
      <c r="C23" s="136"/>
      <c r="D23" s="137"/>
      <c r="E23" s="116"/>
      <c r="F23" s="133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20"/>
      <c r="T23" s="121"/>
      <c r="U23" s="122" t="s">
        <v>1247</v>
      </c>
      <c r="V23" s="123"/>
      <c r="W23" s="124"/>
    </row>
    <row r="24" spans="1:23" ht="24" customHeight="1">
      <c r="A24" s="134"/>
      <c r="B24" s="135"/>
      <c r="C24" s="136"/>
      <c r="D24" s="136"/>
      <c r="E24" s="129"/>
      <c r="F24" s="133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20"/>
      <c r="T24" s="121"/>
      <c r="U24" s="122" t="s">
        <v>1247</v>
      </c>
      <c r="V24" s="123" t="s">
        <v>1247</v>
      </c>
      <c r="W24" s="124" t="s">
        <v>1247</v>
      </c>
    </row>
  </sheetData>
  <mergeCells count="24">
    <mergeCell ref="F6:F8"/>
    <mergeCell ref="G6:R6"/>
    <mergeCell ref="S6:T7"/>
    <mergeCell ref="U6:W6"/>
    <mergeCell ref="G7:J7"/>
    <mergeCell ref="K7:N7"/>
    <mergeCell ref="O7:R7"/>
    <mergeCell ref="G8:H8"/>
    <mergeCell ref="I8:J8"/>
    <mergeCell ref="K8:L8"/>
    <mergeCell ref="M8:N8"/>
    <mergeCell ref="O8:P8"/>
    <mergeCell ref="Q8:R8"/>
    <mergeCell ref="S8:T8"/>
    <mergeCell ref="A1:W1"/>
    <mergeCell ref="E2:L2"/>
    <mergeCell ref="E3:L3"/>
    <mergeCell ref="A4:W4"/>
    <mergeCell ref="A5:W5"/>
    <mergeCell ref="A6:A8"/>
    <mergeCell ref="B6:B8"/>
    <mergeCell ref="C6:C8"/>
    <mergeCell ref="D6:D8"/>
    <mergeCell ref="E6:E8"/>
  </mergeCells>
  <conditionalFormatting sqref="C19:D19">
    <cfRule type="top10" dxfId="14" priority="6" rank="10"/>
  </conditionalFormatting>
  <conditionalFormatting sqref="C23:D23">
    <cfRule type="top10" dxfId="13" priority="18" rank="10"/>
  </conditionalFormatting>
  <conditionalFormatting sqref="C24:D24">
    <cfRule type="top10" dxfId="12" priority="25" rank="10"/>
  </conditionalFormatting>
  <conditionalFormatting sqref="C9:E12">
    <cfRule type="top10" dxfId="11" priority="29" rank="10"/>
  </conditionalFormatting>
  <conditionalFormatting sqref="C13:E13">
    <cfRule type="top10" dxfId="10" priority="28" rank="10"/>
  </conditionalFormatting>
  <conditionalFormatting sqref="C14:E17">
    <cfRule type="top10" dxfId="9" priority="27" rank="10"/>
  </conditionalFormatting>
  <conditionalFormatting sqref="C18:E18 E19">
    <cfRule type="top10" dxfId="8" priority="7" rank="10"/>
  </conditionalFormatting>
  <conditionalFormatting sqref="C20:E20">
    <cfRule type="top10" dxfId="7" priority="5" rank="10"/>
  </conditionalFormatting>
  <conditionalFormatting sqref="C21:E21">
    <cfRule type="top10" dxfId="6" priority="4" rank="10"/>
  </conditionalFormatting>
  <conditionalFormatting sqref="C22:E22">
    <cfRule type="top10" dxfId="5" priority="3" rank="10"/>
  </conditionalFormatting>
  <conditionalFormatting sqref="E23">
    <cfRule type="top10" dxfId="4" priority="20" rank="10"/>
  </conditionalFormatting>
  <conditionalFormatting sqref="E24">
    <cfRule type="top10" dxfId="3" priority="26" rank="10"/>
  </conditionalFormatting>
  <conditionalFormatting sqref="G9:T24">
    <cfRule type="containsText" dxfId="2" priority="1" operator="containsText" text="E">
      <formula>NOT(ISERROR(SEARCH("E",G9)))</formula>
    </cfRule>
    <cfRule type="containsText" dxfId="1" priority="2" operator="containsText" text="U">
      <formula>NOT(ISERROR(SEARCH("U",G9)))</formula>
    </cfRule>
  </conditionalFormatting>
  <conditionalFormatting sqref="U9:W24">
    <cfRule type="cellIs" dxfId="0" priority="13" operator="equal">
      <formula>0</formula>
    </cfRule>
  </conditionalFormatting>
  <dataValidations count="1">
    <dataValidation type="list" allowBlank="1" showInputMessage="1" showErrorMessage="1" sqref="G9:T24" xr:uid="{B2AD237A-55C6-462A-8823-B7F0E2E9FF13}">
      <formula1>"P,U,E"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"/>
  <sheetViews>
    <sheetView workbookViewId="0"/>
  </sheetViews>
  <sheetFormatPr baseColWidth="10" defaultColWidth="8.6640625" defaultRowHeight="1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"/>
  <sheetViews>
    <sheetView workbookViewId="0"/>
  </sheetViews>
  <sheetFormatPr baseColWidth="10" defaultColWidth="8.6640625" defaultRowHeight="1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"/>
  <sheetViews>
    <sheetView workbookViewId="0"/>
  </sheetViews>
  <sheetFormatPr baseColWidth="10" defaultColWidth="8.6640625" defaultRowHeight="1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"/>
  <sheetViews>
    <sheetView workbookViewId="0"/>
  </sheetViews>
  <sheetFormatPr baseColWidth="10" defaultColWidth="8.6640625" defaultRowHeight="1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8.6640625" defaultRowHeight="1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</sheetPr>
  <dimension ref="A1:R72"/>
  <sheetViews>
    <sheetView topLeftCell="A28" zoomScale="80" zoomScaleNormal="80" workbookViewId="0">
      <selection activeCell="C41" sqref="C41"/>
    </sheetView>
  </sheetViews>
  <sheetFormatPr baseColWidth="10" defaultColWidth="8.6640625" defaultRowHeight="24" customHeight="1"/>
  <cols>
    <col min="1" max="1" width="6" customWidth="1"/>
    <col min="2" max="2" width="12.33203125" customWidth="1"/>
    <col min="3" max="3" width="25.33203125" customWidth="1"/>
    <col min="4" max="4" width="24.5" customWidth="1"/>
    <col min="5" max="5" width="7.6640625" style="4" customWidth="1"/>
    <col min="6" max="6" width="9.6640625" customWidth="1"/>
    <col min="7" max="7" width="21.6640625" style="4" customWidth="1"/>
    <col min="8" max="8" width="23.5" customWidth="1"/>
    <col min="9" max="9" width="19.33203125" customWidth="1"/>
    <col min="10" max="10" width="11.5" customWidth="1"/>
    <col min="12" max="13" width="9" customWidth="1"/>
    <col min="14" max="14" width="10.5" customWidth="1"/>
    <col min="15" max="15" width="25.6640625" customWidth="1"/>
  </cols>
  <sheetData>
    <row r="1" spans="1:15" s="1" customFormat="1" ht="25.5" customHeight="1">
      <c r="A1" s="5"/>
      <c r="B1" s="5"/>
      <c r="C1" s="5"/>
      <c r="D1" s="5"/>
      <c r="E1" s="5"/>
      <c r="F1" s="5"/>
      <c r="G1" s="6"/>
      <c r="H1" s="6"/>
      <c r="I1" s="142" t="s">
        <v>0</v>
      </c>
      <c r="J1" s="142"/>
      <c r="K1" s="142"/>
      <c r="L1" s="142"/>
      <c r="M1" s="142"/>
      <c r="N1" s="142"/>
    </row>
    <row r="2" spans="1:15" s="1" customFormat="1" ht="25.5" customHeight="1">
      <c r="A2" s="7" t="s">
        <v>1</v>
      </c>
      <c r="B2" s="8"/>
      <c r="C2" s="5"/>
      <c r="D2" s="5"/>
      <c r="E2" s="5"/>
      <c r="F2" s="5"/>
      <c r="G2" s="6"/>
      <c r="H2" s="6"/>
      <c r="I2" s="142" t="s">
        <v>2</v>
      </c>
      <c r="J2" s="142"/>
      <c r="K2" s="142"/>
      <c r="L2" s="142"/>
      <c r="M2" s="142"/>
      <c r="N2" s="142"/>
    </row>
    <row r="3" spans="1:15" s="1" customFormat="1" ht="26">
      <c r="A3" s="7" t="s">
        <v>3</v>
      </c>
      <c r="B3" s="8"/>
      <c r="C3" s="5"/>
      <c r="D3" s="5"/>
      <c r="E3" s="5"/>
      <c r="F3" s="5"/>
      <c r="G3" s="9"/>
      <c r="H3" s="9"/>
      <c r="I3" s="143">
        <v>323</v>
      </c>
      <c r="J3" s="143"/>
      <c r="K3" s="143"/>
      <c r="L3" s="143"/>
      <c r="M3" s="143"/>
      <c r="N3" s="143"/>
    </row>
    <row r="4" spans="1:15" s="1" customFormat="1" ht="29">
      <c r="A4" s="144" t="s">
        <v>4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0"/>
    </row>
    <row r="5" spans="1:15" s="1" customFormat="1" ht="29.25" customHeight="1">
      <c r="A5" s="145" t="s">
        <v>268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1"/>
    </row>
    <row r="6" spans="1:15" ht="80">
      <c r="A6" s="12" t="s">
        <v>6</v>
      </c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3" t="s">
        <v>13</v>
      </c>
      <c r="I6" s="12" t="s">
        <v>14</v>
      </c>
      <c r="J6" s="12" t="s">
        <v>15</v>
      </c>
      <c r="K6" s="44" t="s">
        <v>16</v>
      </c>
      <c r="L6" s="44" t="s">
        <v>17</v>
      </c>
      <c r="M6" s="44" t="s">
        <v>18</v>
      </c>
      <c r="N6" s="12" t="s">
        <v>19</v>
      </c>
      <c r="O6" s="12" t="s">
        <v>20</v>
      </c>
    </row>
    <row r="7" spans="1:15" ht="29.25" customHeight="1">
      <c r="A7" s="39">
        <v>28</v>
      </c>
      <c r="B7" s="15">
        <v>8035</v>
      </c>
      <c r="C7" s="20" t="s">
        <v>269</v>
      </c>
      <c r="D7" s="21" t="s">
        <v>270</v>
      </c>
      <c r="E7" s="24" t="s">
        <v>23</v>
      </c>
      <c r="F7" s="21" t="s">
        <v>24</v>
      </c>
      <c r="G7" s="24" t="s">
        <v>271</v>
      </c>
      <c r="H7" s="69" t="s">
        <v>272</v>
      </c>
      <c r="I7" s="49" t="s">
        <v>90</v>
      </c>
      <c r="J7" s="50" t="s">
        <v>28</v>
      </c>
      <c r="K7" s="23">
        <v>2019</v>
      </c>
      <c r="L7" s="68"/>
      <c r="M7" s="55">
        <v>2</v>
      </c>
      <c r="N7" s="51"/>
      <c r="O7" s="23" t="s">
        <v>273</v>
      </c>
    </row>
    <row r="8" spans="1:15" ht="29.25" customHeight="1">
      <c r="A8" s="39">
        <v>10</v>
      </c>
      <c r="B8" s="15">
        <v>8036</v>
      </c>
      <c r="C8" s="20" t="s">
        <v>274</v>
      </c>
      <c r="D8" s="21" t="s">
        <v>275</v>
      </c>
      <c r="E8" s="24" t="s">
        <v>33</v>
      </c>
      <c r="F8" s="21" t="s">
        <v>34</v>
      </c>
      <c r="G8" s="87" t="s">
        <v>276</v>
      </c>
      <c r="H8" s="93" t="s">
        <v>277</v>
      </c>
      <c r="I8" s="49" t="s">
        <v>127</v>
      </c>
      <c r="J8" s="50" t="s">
        <v>28</v>
      </c>
      <c r="K8" s="23">
        <v>2019</v>
      </c>
      <c r="L8" s="54"/>
      <c r="M8" s="23">
        <v>46</v>
      </c>
      <c r="N8" s="51"/>
      <c r="O8" s="52" t="s">
        <v>278</v>
      </c>
    </row>
    <row r="9" spans="1:15" ht="29.25" customHeight="1">
      <c r="A9" s="39">
        <v>22</v>
      </c>
      <c r="B9" s="15">
        <v>8037</v>
      </c>
      <c r="C9" s="20" t="s">
        <v>279</v>
      </c>
      <c r="D9" s="21" t="s">
        <v>280</v>
      </c>
      <c r="E9" s="24" t="s">
        <v>33</v>
      </c>
      <c r="F9" s="21" t="s">
        <v>34</v>
      </c>
      <c r="G9" s="24" t="s">
        <v>281</v>
      </c>
      <c r="H9" s="69" t="s">
        <v>282</v>
      </c>
      <c r="I9" s="49" t="s">
        <v>37</v>
      </c>
      <c r="J9" s="50" t="s">
        <v>28</v>
      </c>
      <c r="K9" s="23">
        <v>2019</v>
      </c>
      <c r="L9" s="68"/>
      <c r="M9" s="55">
        <v>19</v>
      </c>
      <c r="N9" s="51"/>
      <c r="O9" s="23" t="s">
        <v>283</v>
      </c>
    </row>
    <row r="10" spans="1:15" ht="29.25" customHeight="1">
      <c r="A10" s="39">
        <v>12</v>
      </c>
      <c r="B10" s="15">
        <v>8038</v>
      </c>
      <c r="C10" s="20" t="s">
        <v>284</v>
      </c>
      <c r="D10" s="21" t="s">
        <v>285</v>
      </c>
      <c r="E10" s="24" t="s">
        <v>33</v>
      </c>
      <c r="F10" s="21" t="s">
        <v>34</v>
      </c>
      <c r="G10" s="24" t="s">
        <v>286</v>
      </c>
      <c r="H10" s="69" t="s">
        <v>287</v>
      </c>
      <c r="I10" s="49" t="s">
        <v>43</v>
      </c>
      <c r="J10" s="50" t="s">
        <v>28</v>
      </c>
      <c r="K10" s="23">
        <v>2019</v>
      </c>
      <c r="L10" s="68"/>
      <c r="M10" s="55">
        <v>13</v>
      </c>
      <c r="N10" s="51"/>
      <c r="O10" s="23" t="s">
        <v>288</v>
      </c>
    </row>
    <row r="11" spans="1:15" ht="29.25" customHeight="1">
      <c r="A11" s="39">
        <v>2</v>
      </c>
      <c r="B11" s="15">
        <v>8039</v>
      </c>
      <c r="C11" s="20" t="s">
        <v>289</v>
      </c>
      <c r="D11" s="21" t="s">
        <v>290</v>
      </c>
      <c r="E11" s="24" t="s">
        <v>23</v>
      </c>
      <c r="F11" s="21" t="s">
        <v>24</v>
      </c>
      <c r="G11" s="87" t="s">
        <v>291</v>
      </c>
      <c r="H11" s="93" t="s">
        <v>292</v>
      </c>
      <c r="I11" s="49" t="s">
        <v>293</v>
      </c>
      <c r="J11" s="50" t="s">
        <v>148</v>
      </c>
      <c r="K11" s="23">
        <v>2019</v>
      </c>
      <c r="L11" s="54"/>
      <c r="M11" s="23">
        <v>62</v>
      </c>
      <c r="N11" s="51"/>
      <c r="O11" s="52" t="s">
        <v>294</v>
      </c>
    </row>
    <row r="12" spans="1:15" ht="29.25" customHeight="1">
      <c r="A12" s="39">
        <v>11</v>
      </c>
      <c r="B12" s="15">
        <v>8040</v>
      </c>
      <c r="C12" s="20" t="s">
        <v>295</v>
      </c>
      <c r="D12" s="21" t="s">
        <v>296</v>
      </c>
      <c r="E12" s="24" t="s">
        <v>33</v>
      </c>
      <c r="F12" s="21" t="s">
        <v>34</v>
      </c>
      <c r="G12" s="24" t="s">
        <v>297</v>
      </c>
      <c r="H12" s="69" t="s">
        <v>298</v>
      </c>
      <c r="I12" s="70" t="s">
        <v>90</v>
      </c>
      <c r="J12" s="50" t="s">
        <v>28</v>
      </c>
      <c r="K12" s="23">
        <v>2019</v>
      </c>
      <c r="L12" s="68"/>
      <c r="M12" s="23">
        <v>35</v>
      </c>
      <c r="N12" s="51"/>
      <c r="O12" s="23" t="s">
        <v>299</v>
      </c>
    </row>
    <row r="13" spans="1:15" ht="29.25" customHeight="1">
      <c r="A13" s="39">
        <v>16</v>
      </c>
      <c r="B13" s="15">
        <v>8041</v>
      </c>
      <c r="C13" s="20" t="s">
        <v>300</v>
      </c>
      <c r="D13" s="21" t="s">
        <v>301</v>
      </c>
      <c r="E13" s="24" t="s">
        <v>23</v>
      </c>
      <c r="F13" s="21" t="s">
        <v>24</v>
      </c>
      <c r="G13" s="24" t="s">
        <v>302</v>
      </c>
      <c r="H13" s="69" t="s">
        <v>303</v>
      </c>
      <c r="I13" s="49" t="s">
        <v>90</v>
      </c>
      <c r="J13" s="50" t="s">
        <v>28</v>
      </c>
      <c r="K13" s="23">
        <v>2019</v>
      </c>
      <c r="L13" s="23"/>
      <c r="M13" s="23">
        <v>47</v>
      </c>
      <c r="N13" s="51"/>
      <c r="O13" s="23" t="s">
        <v>304</v>
      </c>
    </row>
    <row r="14" spans="1:15" ht="29.25" customHeight="1">
      <c r="A14" s="39">
        <v>5</v>
      </c>
      <c r="B14" s="15">
        <v>8042</v>
      </c>
      <c r="C14" s="20" t="s">
        <v>305</v>
      </c>
      <c r="D14" s="21" t="s">
        <v>306</v>
      </c>
      <c r="E14" s="24" t="s">
        <v>33</v>
      </c>
      <c r="F14" s="21" t="s">
        <v>34</v>
      </c>
      <c r="G14" s="87" t="s">
        <v>307</v>
      </c>
      <c r="H14" s="93" t="s">
        <v>308</v>
      </c>
      <c r="I14" s="70" t="s">
        <v>309</v>
      </c>
      <c r="J14" s="50" t="s">
        <v>28</v>
      </c>
      <c r="K14" s="23">
        <v>2019</v>
      </c>
      <c r="L14" s="54"/>
      <c r="M14" s="23">
        <v>25</v>
      </c>
      <c r="N14" s="51"/>
      <c r="O14" s="52" t="s">
        <v>310</v>
      </c>
    </row>
    <row r="15" spans="1:15" ht="29.25" customHeight="1">
      <c r="A15" s="39">
        <v>23</v>
      </c>
      <c r="B15" s="15">
        <v>8043</v>
      </c>
      <c r="C15" s="20" t="s">
        <v>311</v>
      </c>
      <c r="D15" s="21" t="s">
        <v>312</v>
      </c>
      <c r="E15" s="24" t="s">
        <v>23</v>
      </c>
      <c r="F15" s="21" t="s">
        <v>34</v>
      </c>
      <c r="G15" s="24" t="s">
        <v>313</v>
      </c>
      <c r="H15" s="69" t="s">
        <v>314</v>
      </c>
      <c r="I15" s="49" t="s">
        <v>90</v>
      </c>
      <c r="J15" s="50" t="s">
        <v>28</v>
      </c>
      <c r="K15" s="23">
        <v>2019</v>
      </c>
      <c r="L15" s="68"/>
      <c r="M15" s="55">
        <v>12</v>
      </c>
      <c r="N15" s="51"/>
      <c r="O15" s="23" t="s">
        <v>315</v>
      </c>
    </row>
    <row r="16" spans="1:15" ht="29.25" customHeight="1">
      <c r="A16" s="39">
        <v>1</v>
      </c>
      <c r="B16" s="15">
        <v>8044</v>
      </c>
      <c r="C16" s="94" t="s">
        <v>316</v>
      </c>
      <c r="D16" s="21" t="s">
        <v>317</v>
      </c>
      <c r="E16" s="24" t="s">
        <v>33</v>
      </c>
      <c r="F16" s="21" t="s">
        <v>34</v>
      </c>
      <c r="G16" s="87" t="s">
        <v>318</v>
      </c>
      <c r="H16" s="93" t="s">
        <v>319</v>
      </c>
      <c r="I16" s="49" t="s">
        <v>90</v>
      </c>
      <c r="J16" s="50" t="s">
        <v>28</v>
      </c>
      <c r="K16" s="23">
        <v>2019</v>
      </c>
      <c r="L16" s="54"/>
      <c r="M16" s="23">
        <v>56</v>
      </c>
      <c r="N16" s="51"/>
      <c r="O16" s="52" t="s">
        <v>320</v>
      </c>
    </row>
    <row r="17" spans="1:15" ht="29.25" customHeight="1">
      <c r="A17" s="39">
        <v>26</v>
      </c>
      <c r="B17" s="15">
        <v>8045</v>
      </c>
      <c r="C17" s="20" t="s">
        <v>321</v>
      </c>
      <c r="D17" s="21" t="s">
        <v>322</v>
      </c>
      <c r="E17" s="24" t="s">
        <v>33</v>
      </c>
      <c r="F17" s="21" t="s">
        <v>34</v>
      </c>
      <c r="G17" s="24" t="s">
        <v>323</v>
      </c>
      <c r="H17" s="69" t="s">
        <v>324</v>
      </c>
      <c r="I17" s="49" t="s">
        <v>133</v>
      </c>
      <c r="J17" s="50" t="s">
        <v>28</v>
      </c>
      <c r="K17" s="23">
        <v>2019</v>
      </c>
      <c r="L17" s="68"/>
      <c r="M17" s="55">
        <v>51</v>
      </c>
      <c r="N17" s="51"/>
      <c r="O17" s="23" t="s">
        <v>325</v>
      </c>
    </row>
    <row r="18" spans="1:15" ht="29.25" customHeight="1">
      <c r="A18" s="39">
        <v>19</v>
      </c>
      <c r="B18" s="15">
        <v>8046</v>
      </c>
      <c r="C18" s="20" t="s">
        <v>326</v>
      </c>
      <c r="D18" s="21" t="s">
        <v>327</v>
      </c>
      <c r="E18" s="24" t="s">
        <v>33</v>
      </c>
      <c r="F18" s="21" t="s">
        <v>34</v>
      </c>
      <c r="G18" s="24" t="s">
        <v>328</v>
      </c>
      <c r="H18" s="69" t="s">
        <v>329</v>
      </c>
      <c r="I18" s="49" t="s">
        <v>330</v>
      </c>
      <c r="J18" s="50" t="s">
        <v>148</v>
      </c>
      <c r="K18" s="23">
        <v>2019</v>
      </c>
      <c r="L18" s="68"/>
      <c r="M18" s="55">
        <v>32</v>
      </c>
      <c r="N18" s="51"/>
      <c r="O18" s="23" t="s">
        <v>331</v>
      </c>
    </row>
    <row r="19" spans="1:15" ht="29.25" customHeight="1">
      <c r="A19" s="39">
        <v>30</v>
      </c>
      <c r="B19" s="15">
        <v>8047</v>
      </c>
      <c r="C19" s="20" t="s">
        <v>332</v>
      </c>
      <c r="D19" s="21" t="s">
        <v>333</v>
      </c>
      <c r="E19" s="24" t="s">
        <v>23</v>
      </c>
      <c r="F19" s="21" t="s">
        <v>24</v>
      </c>
      <c r="G19" s="24" t="s">
        <v>334</v>
      </c>
      <c r="H19" s="69" t="s">
        <v>335</v>
      </c>
      <c r="I19" s="49" t="s">
        <v>90</v>
      </c>
      <c r="J19" s="50" t="s">
        <v>28</v>
      </c>
      <c r="K19" s="23">
        <v>2019</v>
      </c>
      <c r="L19" s="68"/>
      <c r="M19" s="55">
        <v>21</v>
      </c>
      <c r="N19" s="51"/>
      <c r="O19" s="23" t="s">
        <v>336</v>
      </c>
    </row>
    <row r="20" spans="1:15" ht="29.25" customHeight="1">
      <c r="A20" s="39">
        <v>33</v>
      </c>
      <c r="B20" s="15">
        <v>8048</v>
      </c>
      <c r="C20" s="20" t="s">
        <v>337</v>
      </c>
      <c r="D20" s="21" t="s">
        <v>338</v>
      </c>
      <c r="E20" s="24" t="s">
        <v>33</v>
      </c>
      <c r="F20" s="22" t="s">
        <v>34</v>
      </c>
      <c r="G20" s="24" t="s">
        <v>339</v>
      </c>
      <c r="H20" s="69" t="s">
        <v>340</v>
      </c>
      <c r="I20" s="49" t="s">
        <v>90</v>
      </c>
      <c r="J20" s="50" t="s">
        <v>28</v>
      </c>
      <c r="K20" s="23">
        <v>2020</v>
      </c>
      <c r="L20" s="68"/>
      <c r="M20" s="55">
        <v>12</v>
      </c>
      <c r="N20" s="51" t="s">
        <v>29</v>
      </c>
      <c r="O20" s="23">
        <v>968327743</v>
      </c>
    </row>
    <row r="21" spans="1:15" ht="29.25" customHeight="1">
      <c r="A21" s="39">
        <v>24</v>
      </c>
      <c r="B21" s="15">
        <v>8049</v>
      </c>
      <c r="C21" s="20" t="s">
        <v>341</v>
      </c>
      <c r="D21" s="21" t="s">
        <v>342</v>
      </c>
      <c r="E21" s="24" t="s">
        <v>33</v>
      </c>
      <c r="F21" s="21" t="s">
        <v>34</v>
      </c>
      <c r="G21" s="24" t="s">
        <v>343</v>
      </c>
      <c r="H21" s="69" t="s">
        <v>344</v>
      </c>
      <c r="I21" s="49" t="s">
        <v>90</v>
      </c>
      <c r="J21" s="50" t="s">
        <v>28</v>
      </c>
      <c r="K21" s="23">
        <v>2019</v>
      </c>
      <c r="L21" s="68"/>
      <c r="M21" s="55">
        <v>16</v>
      </c>
      <c r="N21" s="51"/>
      <c r="O21" s="23" t="s">
        <v>345</v>
      </c>
    </row>
    <row r="22" spans="1:15" ht="29.25" customHeight="1">
      <c r="A22" s="39">
        <v>3</v>
      </c>
      <c r="B22" s="15">
        <v>8050</v>
      </c>
      <c r="C22" s="20" t="s">
        <v>346</v>
      </c>
      <c r="D22" s="21" t="s">
        <v>347</v>
      </c>
      <c r="E22" s="24" t="s">
        <v>33</v>
      </c>
      <c r="F22" s="21" t="s">
        <v>34</v>
      </c>
      <c r="G22" s="87" t="s">
        <v>348</v>
      </c>
      <c r="H22" s="93" t="s">
        <v>349</v>
      </c>
      <c r="I22" s="49" t="s">
        <v>350</v>
      </c>
      <c r="J22" s="50" t="s">
        <v>28</v>
      </c>
      <c r="K22" s="23">
        <v>2019</v>
      </c>
      <c r="L22" s="95"/>
      <c r="M22" s="23">
        <v>41</v>
      </c>
      <c r="N22" s="51"/>
      <c r="O22" s="51" t="s">
        <v>351</v>
      </c>
    </row>
    <row r="23" spans="1:15" ht="29.25" customHeight="1">
      <c r="A23" s="39">
        <v>17</v>
      </c>
      <c r="B23" s="15">
        <v>8051</v>
      </c>
      <c r="C23" s="20" t="s">
        <v>352</v>
      </c>
      <c r="D23" s="21" t="s">
        <v>353</v>
      </c>
      <c r="E23" s="24" t="s">
        <v>33</v>
      </c>
      <c r="F23" s="21" t="s">
        <v>34</v>
      </c>
      <c r="G23" s="24" t="s">
        <v>354</v>
      </c>
      <c r="H23" s="69" t="s">
        <v>355</v>
      </c>
      <c r="I23" s="49" t="s">
        <v>90</v>
      </c>
      <c r="J23" s="50" t="s">
        <v>28</v>
      </c>
      <c r="K23" s="23">
        <v>2019</v>
      </c>
      <c r="L23" s="68"/>
      <c r="M23" s="23">
        <v>42</v>
      </c>
      <c r="N23" s="51"/>
      <c r="O23" s="23" t="s">
        <v>356</v>
      </c>
    </row>
    <row r="24" spans="1:15" ht="29.25" customHeight="1">
      <c r="A24" s="39">
        <v>20</v>
      </c>
      <c r="B24" s="15">
        <v>8052</v>
      </c>
      <c r="C24" s="20" t="s">
        <v>357</v>
      </c>
      <c r="D24" s="21" t="s">
        <v>358</v>
      </c>
      <c r="E24" s="24" t="s">
        <v>23</v>
      </c>
      <c r="F24" s="21" t="s">
        <v>24</v>
      </c>
      <c r="G24" s="24" t="s">
        <v>359</v>
      </c>
      <c r="H24" s="69" t="s">
        <v>360</v>
      </c>
      <c r="I24" s="49" t="s">
        <v>361</v>
      </c>
      <c r="J24" s="50" t="s">
        <v>28</v>
      </c>
      <c r="K24" s="23">
        <v>2019</v>
      </c>
      <c r="L24" s="68"/>
      <c r="M24" s="55">
        <v>3</v>
      </c>
      <c r="N24" s="51"/>
      <c r="O24" s="23" t="s">
        <v>362</v>
      </c>
    </row>
    <row r="25" spans="1:15" ht="29.25" customHeight="1">
      <c r="A25" s="39">
        <v>31</v>
      </c>
      <c r="B25" s="15">
        <v>8053</v>
      </c>
      <c r="C25" s="20" t="s">
        <v>363</v>
      </c>
      <c r="D25" s="21" t="s">
        <v>364</v>
      </c>
      <c r="E25" s="24" t="s">
        <v>23</v>
      </c>
      <c r="F25" s="21" t="s">
        <v>24</v>
      </c>
      <c r="G25" s="24" t="s">
        <v>365</v>
      </c>
      <c r="H25" s="69" t="s">
        <v>366</v>
      </c>
      <c r="I25" s="49" t="s">
        <v>90</v>
      </c>
      <c r="J25" s="50" t="s">
        <v>28</v>
      </c>
      <c r="K25" s="23">
        <v>2019</v>
      </c>
      <c r="L25" s="68"/>
      <c r="M25" s="55">
        <v>6</v>
      </c>
      <c r="N25" s="51"/>
      <c r="O25" s="23" t="s">
        <v>367</v>
      </c>
    </row>
    <row r="26" spans="1:15" ht="29.25" customHeight="1">
      <c r="A26" s="39">
        <v>32</v>
      </c>
      <c r="B26" s="15">
        <v>8054</v>
      </c>
      <c r="C26" s="20" t="s">
        <v>368</v>
      </c>
      <c r="D26" s="21" t="s">
        <v>369</v>
      </c>
      <c r="E26" s="24" t="s">
        <v>23</v>
      </c>
      <c r="F26" s="22" t="s">
        <v>24</v>
      </c>
      <c r="G26" s="24" t="s">
        <v>370</v>
      </c>
      <c r="H26" s="69" t="s">
        <v>371</v>
      </c>
      <c r="I26" s="49" t="s">
        <v>90</v>
      </c>
      <c r="J26" s="50" t="s">
        <v>28</v>
      </c>
      <c r="K26" s="23">
        <v>2019</v>
      </c>
      <c r="L26" s="68"/>
      <c r="M26" s="55">
        <v>9</v>
      </c>
      <c r="N26" s="51" t="s">
        <v>29</v>
      </c>
      <c r="O26" s="23">
        <v>886090658</v>
      </c>
    </row>
    <row r="27" spans="1:15" ht="29.25" customHeight="1">
      <c r="A27" s="39">
        <v>25</v>
      </c>
      <c r="B27" s="15">
        <v>8055</v>
      </c>
      <c r="C27" s="20" t="s">
        <v>372</v>
      </c>
      <c r="D27" s="21" t="s">
        <v>373</v>
      </c>
      <c r="E27" s="24" t="s">
        <v>33</v>
      </c>
      <c r="F27" s="21" t="s">
        <v>34</v>
      </c>
      <c r="G27" s="24" t="s">
        <v>374</v>
      </c>
      <c r="H27" s="69" t="s">
        <v>375</v>
      </c>
      <c r="I27" s="49" t="s">
        <v>90</v>
      </c>
      <c r="J27" s="50" t="s">
        <v>28</v>
      </c>
      <c r="K27" s="23">
        <v>2019</v>
      </c>
      <c r="L27" s="68"/>
      <c r="M27" s="55">
        <v>7</v>
      </c>
      <c r="N27" s="51"/>
      <c r="O27" s="23" t="s">
        <v>376</v>
      </c>
    </row>
    <row r="28" spans="1:15" ht="29.25" customHeight="1">
      <c r="A28" s="39">
        <v>29</v>
      </c>
      <c r="B28" s="15">
        <v>8056</v>
      </c>
      <c r="C28" s="20" t="s">
        <v>377</v>
      </c>
      <c r="D28" s="21" t="s">
        <v>378</v>
      </c>
      <c r="E28" s="24" t="s">
        <v>23</v>
      </c>
      <c r="F28" s="21" t="s">
        <v>24</v>
      </c>
      <c r="G28" s="24" t="s">
        <v>131</v>
      </c>
      <c r="H28" s="69" t="s">
        <v>132</v>
      </c>
      <c r="I28" s="49" t="s">
        <v>379</v>
      </c>
      <c r="J28" s="50" t="s">
        <v>28</v>
      </c>
      <c r="K28" s="23">
        <v>2019</v>
      </c>
      <c r="L28" s="68"/>
      <c r="M28" s="55">
        <v>20</v>
      </c>
      <c r="N28" s="51"/>
      <c r="O28" s="23" t="s">
        <v>380</v>
      </c>
    </row>
    <row r="29" spans="1:15" ht="29.25" customHeight="1">
      <c r="A29" s="39">
        <v>14</v>
      </c>
      <c r="B29" s="15">
        <v>8057</v>
      </c>
      <c r="C29" s="20" t="s">
        <v>381</v>
      </c>
      <c r="D29" s="21" t="s">
        <v>382</v>
      </c>
      <c r="E29" s="24" t="s">
        <v>23</v>
      </c>
      <c r="F29" s="21" t="s">
        <v>24</v>
      </c>
      <c r="G29" s="24" t="s">
        <v>383</v>
      </c>
      <c r="H29" s="69" t="s">
        <v>384</v>
      </c>
      <c r="I29" s="49" t="s">
        <v>90</v>
      </c>
      <c r="J29" s="50" t="s">
        <v>28</v>
      </c>
      <c r="K29" s="23">
        <v>2019</v>
      </c>
      <c r="L29" s="68"/>
      <c r="M29" s="55">
        <v>37</v>
      </c>
      <c r="N29" s="51"/>
      <c r="O29" s="23" t="s">
        <v>385</v>
      </c>
    </row>
    <row r="30" spans="1:15" ht="29.25" customHeight="1">
      <c r="A30" s="39">
        <v>18</v>
      </c>
      <c r="B30" s="15">
        <v>8058</v>
      </c>
      <c r="C30" s="20" t="s">
        <v>386</v>
      </c>
      <c r="D30" s="21" t="s">
        <v>387</v>
      </c>
      <c r="E30" s="24" t="s">
        <v>23</v>
      </c>
      <c r="F30" s="21" t="s">
        <v>24</v>
      </c>
      <c r="G30" s="24" t="s">
        <v>388</v>
      </c>
      <c r="H30" s="69" t="s">
        <v>389</v>
      </c>
      <c r="I30" s="49" t="s">
        <v>90</v>
      </c>
      <c r="J30" s="50" t="s">
        <v>28</v>
      </c>
      <c r="K30" s="23">
        <v>2019</v>
      </c>
      <c r="L30" s="68"/>
      <c r="M30" s="55">
        <v>61</v>
      </c>
      <c r="N30" s="51"/>
      <c r="O30" s="23" t="s">
        <v>390</v>
      </c>
    </row>
    <row r="31" spans="1:15" ht="29.25" customHeight="1">
      <c r="A31" s="39">
        <v>4</v>
      </c>
      <c r="B31" s="15">
        <v>8059</v>
      </c>
      <c r="C31" s="20" t="s">
        <v>391</v>
      </c>
      <c r="D31" s="21" t="s">
        <v>392</v>
      </c>
      <c r="E31" s="24" t="s">
        <v>33</v>
      </c>
      <c r="F31" s="21" t="s">
        <v>34</v>
      </c>
      <c r="G31" s="87" t="s">
        <v>393</v>
      </c>
      <c r="H31" s="93" t="s">
        <v>394</v>
      </c>
      <c r="I31" s="49" t="s">
        <v>260</v>
      </c>
      <c r="J31" s="50" t="s">
        <v>28</v>
      </c>
      <c r="K31" s="23">
        <v>2019</v>
      </c>
      <c r="L31" s="68"/>
      <c r="M31" s="23">
        <v>59</v>
      </c>
      <c r="N31" s="51"/>
      <c r="O31" s="52" t="s">
        <v>395</v>
      </c>
    </row>
    <row r="32" spans="1:15" ht="29.25" customHeight="1">
      <c r="A32" s="39">
        <v>21</v>
      </c>
      <c r="B32" s="15">
        <v>8060</v>
      </c>
      <c r="C32" s="20" t="s">
        <v>396</v>
      </c>
      <c r="D32" s="21" t="s">
        <v>397</v>
      </c>
      <c r="E32" s="24" t="s">
        <v>23</v>
      </c>
      <c r="F32" s="21" t="s">
        <v>24</v>
      </c>
      <c r="G32" s="22" t="s">
        <v>398</v>
      </c>
      <c r="H32" s="69" t="s">
        <v>399</v>
      </c>
      <c r="I32" s="49" t="s">
        <v>400</v>
      </c>
      <c r="J32" s="50" t="s">
        <v>28</v>
      </c>
      <c r="K32" s="23">
        <v>2019</v>
      </c>
      <c r="L32" s="96"/>
      <c r="M32" s="55">
        <v>33</v>
      </c>
      <c r="N32" s="51"/>
      <c r="O32" s="23" t="s">
        <v>401</v>
      </c>
    </row>
    <row r="33" spans="1:15" ht="29.25" customHeight="1">
      <c r="A33" s="39">
        <v>9</v>
      </c>
      <c r="B33" s="15">
        <v>8061</v>
      </c>
      <c r="C33" s="20" t="s">
        <v>402</v>
      </c>
      <c r="D33" s="21" t="s">
        <v>403</v>
      </c>
      <c r="E33" s="24" t="s">
        <v>33</v>
      </c>
      <c r="F33" s="21" t="s">
        <v>34</v>
      </c>
      <c r="G33" s="87" t="s">
        <v>404</v>
      </c>
      <c r="H33" s="93" t="s">
        <v>405</v>
      </c>
      <c r="I33" s="49" t="s">
        <v>49</v>
      </c>
      <c r="J33" s="50" t="s">
        <v>28</v>
      </c>
      <c r="K33" s="23">
        <v>2019</v>
      </c>
      <c r="L33" s="68"/>
      <c r="M33" s="23">
        <v>10</v>
      </c>
      <c r="N33" s="51"/>
      <c r="O33" s="52" t="s">
        <v>406</v>
      </c>
    </row>
    <row r="34" spans="1:15" ht="29.25" customHeight="1">
      <c r="A34" s="39">
        <v>15</v>
      </c>
      <c r="B34" s="15">
        <v>8062</v>
      </c>
      <c r="C34" s="20" t="s">
        <v>407</v>
      </c>
      <c r="D34" s="21" t="s">
        <v>408</v>
      </c>
      <c r="E34" s="24" t="s">
        <v>23</v>
      </c>
      <c r="F34" s="21" t="s">
        <v>24</v>
      </c>
      <c r="G34" s="24" t="s">
        <v>409</v>
      </c>
      <c r="H34" s="69" t="s">
        <v>410</v>
      </c>
      <c r="I34" s="59" t="s">
        <v>90</v>
      </c>
      <c r="J34" s="50" t="s">
        <v>28</v>
      </c>
      <c r="K34" s="23">
        <v>2019</v>
      </c>
      <c r="L34" s="97"/>
      <c r="M34" s="23">
        <v>24</v>
      </c>
      <c r="N34" s="51"/>
      <c r="O34" s="23" t="s">
        <v>411</v>
      </c>
    </row>
    <row r="35" spans="1:15" ht="29.25" customHeight="1">
      <c r="A35" s="39">
        <v>27</v>
      </c>
      <c r="B35" s="15">
        <v>8063</v>
      </c>
      <c r="C35" s="20" t="s">
        <v>412</v>
      </c>
      <c r="D35" s="21" t="s">
        <v>413</v>
      </c>
      <c r="E35" s="24" t="s">
        <v>33</v>
      </c>
      <c r="F35" s="21" t="s">
        <v>34</v>
      </c>
      <c r="G35" s="24" t="s">
        <v>266</v>
      </c>
      <c r="H35" s="69" t="s">
        <v>414</v>
      </c>
      <c r="I35" s="49" t="s">
        <v>350</v>
      </c>
      <c r="J35" s="50" t="s">
        <v>28</v>
      </c>
      <c r="K35" s="23">
        <v>2019</v>
      </c>
      <c r="L35" s="68"/>
      <c r="M35" s="55">
        <v>48</v>
      </c>
      <c r="N35" s="51"/>
      <c r="O35" s="23" t="s">
        <v>415</v>
      </c>
    </row>
    <row r="36" spans="1:15" ht="29.25" customHeight="1">
      <c r="A36" s="39">
        <v>6</v>
      </c>
      <c r="B36" s="15">
        <v>8064</v>
      </c>
      <c r="C36" s="20" t="s">
        <v>416</v>
      </c>
      <c r="D36" s="21" t="s">
        <v>417</v>
      </c>
      <c r="E36" s="24" t="s">
        <v>33</v>
      </c>
      <c r="F36" s="21" t="s">
        <v>34</v>
      </c>
      <c r="G36" s="87" t="s">
        <v>418</v>
      </c>
      <c r="H36" s="93" t="s">
        <v>419</v>
      </c>
      <c r="I36" s="49" t="s">
        <v>133</v>
      </c>
      <c r="J36" s="50" t="s">
        <v>28</v>
      </c>
      <c r="K36" s="23">
        <v>2019</v>
      </c>
      <c r="L36" s="54"/>
      <c r="M36" s="23">
        <v>30</v>
      </c>
      <c r="N36" s="51"/>
      <c r="O36" s="52" t="s">
        <v>420</v>
      </c>
    </row>
    <row r="37" spans="1:15" ht="29.25" customHeight="1">
      <c r="A37" s="39">
        <v>8</v>
      </c>
      <c r="B37" s="15">
        <v>8065</v>
      </c>
      <c r="C37" s="20" t="s">
        <v>421</v>
      </c>
      <c r="D37" s="21" t="s">
        <v>422</v>
      </c>
      <c r="E37" s="24" t="s">
        <v>23</v>
      </c>
      <c r="F37" s="21" t="s">
        <v>24</v>
      </c>
      <c r="G37" s="87" t="s">
        <v>423</v>
      </c>
      <c r="H37" s="93" t="s">
        <v>424</v>
      </c>
      <c r="I37" s="49" t="s">
        <v>425</v>
      </c>
      <c r="J37" s="50" t="s">
        <v>75</v>
      </c>
      <c r="K37" s="23">
        <v>2019</v>
      </c>
      <c r="L37" s="96"/>
      <c r="M37" s="23">
        <v>26</v>
      </c>
      <c r="N37" s="51"/>
      <c r="O37" s="52" t="s">
        <v>426</v>
      </c>
    </row>
    <row r="38" spans="1:15" ht="29.25" customHeight="1">
      <c r="A38" s="39">
        <v>7</v>
      </c>
      <c r="B38" s="15">
        <v>8066</v>
      </c>
      <c r="C38" s="20" t="s">
        <v>427</v>
      </c>
      <c r="D38" s="21" t="s">
        <v>428</v>
      </c>
      <c r="E38" s="24" t="s">
        <v>33</v>
      </c>
      <c r="F38" s="21" t="s">
        <v>34</v>
      </c>
      <c r="G38" s="87" t="s">
        <v>429</v>
      </c>
      <c r="H38" s="93" t="s">
        <v>430</v>
      </c>
      <c r="I38" s="22" t="s">
        <v>90</v>
      </c>
      <c r="J38" s="22" t="s">
        <v>28</v>
      </c>
      <c r="K38" s="23">
        <v>2019</v>
      </c>
      <c r="L38" s="95"/>
      <c r="M38" s="23">
        <v>39</v>
      </c>
      <c r="N38" s="51"/>
      <c r="O38" s="52" t="s">
        <v>431</v>
      </c>
    </row>
    <row r="39" spans="1:15" ht="29.25" customHeight="1">
      <c r="A39" s="39">
        <v>13</v>
      </c>
      <c r="B39" s="15">
        <v>8067</v>
      </c>
      <c r="C39" s="20" t="s">
        <v>432</v>
      </c>
      <c r="D39" s="21" t="s">
        <v>433</v>
      </c>
      <c r="E39" s="24" t="s">
        <v>33</v>
      </c>
      <c r="F39" s="21" t="s">
        <v>34</v>
      </c>
      <c r="G39" s="24" t="s">
        <v>434</v>
      </c>
      <c r="H39" s="69" t="s">
        <v>435</v>
      </c>
      <c r="I39" s="49" t="s">
        <v>90</v>
      </c>
      <c r="J39" s="50" t="s">
        <v>28</v>
      </c>
      <c r="K39" s="23">
        <v>2019</v>
      </c>
      <c r="L39" s="54"/>
      <c r="M39" s="23">
        <v>57</v>
      </c>
      <c r="N39" s="51"/>
      <c r="O39" s="23" t="s">
        <v>436</v>
      </c>
    </row>
    <row r="40" spans="1:15" ht="29.25" customHeight="1">
      <c r="A40" s="39">
        <v>34</v>
      </c>
      <c r="B40" s="37"/>
      <c r="C40" s="20"/>
      <c r="D40" s="21"/>
      <c r="E40" s="22"/>
      <c r="F40" s="23"/>
      <c r="G40" s="87"/>
      <c r="H40" s="93"/>
      <c r="I40" s="49"/>
      <c r="J40" s="50"/>
      <c r="K40" s="23"/>
      <c r="L40" s="23"/>
      <c r="M40" s="23"/>
      <c r="N40" s="51"/>
      <c r="O40" s="51"/>
    </row>
    <row r="41" spans="1:15" ht="29.25" customHeight="1">
      <c r="A41" s="39">
        <v>35</v>
      </c>
      <c r="B41" s="37"/>
      <c r="C41" s="20"/>
      <c r="D41" s="21"/>
      <c r="E41" s="24"/>
      <c r="F41" s="22"/>
      <c r="G41" s="87"/>
      <c r="H41" s="93"/>
      <c r="I41" s="59"/>
      <c r="J41" s="50"/>
      <c r="K41" s="23"/>
      <c r="L41" s="23"/>
      <c r="M41" s="23"/>
      <c r="N41" s="51"/>
      <c r="O41" s="52"/>
    </row>
    <row r="42" spans="1:15" ht="29.25" customHeight="1">
      <c r="A42" s="39">
        <v>36</v>
      </c>
      <c r="B42" s="37"/>
      <c r="C42" s="20"/>
      <c r="D42" s="21"/>
      <c r="E42" s="24"/>
      <c r="F42" s="22"/>
      <c r="G42" s="87"/>
      <c r="H42" s="93"/>
      <c r="I42" s="59"/>
      <c r="J42" s="50"/>
      <c r="K42" s="23"/>
      <c r="L42" s="23"/>
      <c r="M42" s="23"/>
      <c r="N42" s="51"/>
      <c r="O42" s="52"/>
    </row>
    <row r="43" spans="1:15" ht="24" customHeight="1">
      <c r="A43" s="40" t="s">
        <v>173</v>
      </c>
      <c r="B43" s="3"/>
      <c r="C43" s="3"/>
      <c r="D43" s="3"/>
      <c r="E43" s="3"/>
      <c r="F43" s="3"/>
      <c r="G43" s="3"/>
      <c r="I43" s="98" t="s">
        <v>174</v>
      </c>
      <c r="J43" s="98"/>
      <c r="K43" s="98"/>
      <c r="L43" s="98"/>
      <c r="M43" s="3"/>
      <c r="N43">
        <f>COUNTIF(E5:E42,"ស្រី")</f>
        <v>19</v>
      </c>
    </row>
    <row r="44" spans="1:15" ht="24" customHeight="1">
      <c r="A44" s="3"/>
      <c r="B44" s="3"/>
      <c r="C44" s="3"/>
      <c r="D44" s="3"/>
      <c r="E44" s="3"/>
      <c r="F44" s="40"/>
      <c r="G44" s="40"/>
      <c r="H44" s="40"/>
      <c r="I44" s="140" t="s">
        <v>175</v>
      </c>
      <c r="J44" s="140"/>
      <c r="K44" s="140"/>
      <c r="L44" s="140"/>
      <c r="M44" s="61"/>
    </row>
    <row r="45" spans="1:15" ht="24" customHeight="1">
      <c r="A45" s="41"/>
      <c r="B45" s="41"/>
      <c r="C45" s="141" t="s">
        <v>176</v>
      </c>
      <c r="D45" s="141"/>
      <c r="E45" s="141"/>
      <c r="F45" s="141"/>
      <c r="G45" s="43"/>
      <c r="H45" s="43"/>
      <c r="I45" s="141" t="s">
        <v>177</v>
      </c>
      <c r="J45" s="141"/>
      <c r="K45" s="141"/>
      <c r="L45" s="141"/>
      <c r="M45" s="42"/>
      <c r="N45" s="62"/>
    </row>
    <row r="46" spans="1:15" ht="24" customHeight="1">
      <c r="A46" s="41"/>
      <c r="B46" s="41"/>
      <c r="C46" s="139" t="s">
        <v>178</v>
      </c>
      <c r="D46" s="139"/>
      <c r="E46" s="139"/>
      <c r="F46" s="139"/>
      <c r="G46" s="3"/>
      <c r="H46" s="3"/>
      <c r="I46" s="3"/>
      <c r="J46" s="3"/>
      <c r="K46" s="3"/>
      <c r="L46" s="3"/>
      <c r="M46" s="3"/>
    </row>
    <row r="47" spans="1:15" ht="24" customHeight="1">
      <c r="A47" s="41"/>
      <c r="B47" s="41"/>
      <c r="C47" s="141" t="s">
        <v>179</v>
      </c>
      <c r="D47" s="141"/>
      <c r="E47" s="141"/>
      <c r="F47" s="141"/>
      <c r="G47" s="3"/>
      <c r="H47" s="3"/>
      <c r="I47" s="3"/>
      <c r="J47" s="3"/>
      <c r="K47" s="3"/>
      <c r="L47" s="3"/>
      <c r="M47" s="3"/>
    </row>
    <row r="49" spans="3:4" ht="24" customHeight="1">
      <c r="C49" t="s">
        <v>254</v>
      </c>
      <c r="D49">
        <f>COUNTA(C7:C39)</f>
        <v>33</v>
      </c>
    </row>
    <row r="50" spans="3:4" ht="24" customHeight="1">
      <c r="C50" t="s">
        <v>255</v>
      </c>
      <c r="D50">
        <f>COUNTIF(E7:E39,E39)</f>
        <v>19</v>
      </c>
    </row>
    <row r="68" spans="1:18" s="3" customFormat="1">
      <c r="A68"/>
      <c r="B68"/>
      <c r="C68"/>
      <c r="D68"/>
      <c r="E68" s="4"/>
      <c r="F68"/>
      <c r="G68" s="4"/>
      <c r="H68"/>
      <c r="I68"/>
      <c r="J68"/>
      <c r="K68"/>
      <c r="L68"/>
      <c r="M68"/>
    </row>
    <row r="69" spans="1:18" s="3" customFormat="1">
      <c r="A69"/>
      <c r="B69"/>
      <c r="C69"/>
      <c r="D69"/>
      <c r="E69" s="4"/>
      <c r="F69"/>
      <c r="G69" s="4"/>
      <c r="H69"/>
      <c r="I69"/>
      <c r="J69"/>
      <c r="K69"/>
      <c r="L69"/>
      <c r="M69"/>
      <c r="O69" s="40">
        <f>COUNTIF(E7:E16,"ស្រី")</f>
        <v>6</v>
      </c>
      <c r="P69" s="40"/>
      <c r="Q69" s="40"/>
      <c r="R69" s="40"/>
    </row>
    <row r="70" spans="1:18" s="3" customFormat="1">
      <c r="A70"/>
      <c r="B70"/>
      <c r="C70"/>
      <c r="D70"/>
      <c r="E70" s="4"/>
      <c r="F70"/>
      <c r="G70" s="4"/>
      <c r="H70"/>
      <c r="I70"/>
      <c r="J70"/>
      <c r="K70"/>
      <c r="L70"/>
      <c r="M70"/>
      <c r="O70" s="40"/>
      <c r="P70" s="139"/>
      <c r="Q70" s="139"/>
      <c r="R70" s="139"/>
    </row>
    <row r="71" spans="1:18" s="3" customFormat="1">
      <c r="A71"/>
      <c r="B71"/>
      <c r="C71"/>
      <c r="D71"/>
      <c r="E71" s="4"/>
      <c r="F71"/>
      <c r="G71" s="4"/>
      <c r="H71"/>
      <c r="I71"/>
      <c r="J71"/>
      <c r="K71"/>
      <c r="L71"/>
      <c r="M71"/>
      <c r="P71" s="139"/>
      <c r="Q71" s="139"/>
      <c r="R71" s="139"/>
    </row>
    <row r="72" spans="1:18" s="3" customFormat="1">
      <c r="A72"/>
      <c r="B72"/>
      <c r="C72"/>
      <c r="D72"/>
      <c r="E72" s="4"/>
      <c r="F72"/>
      <c r="G72" s="4"/>
      <c r="H72"/>
      <c r="I72"/>
      <c r="J72"/>
      <c r="K72"/>
      <c r="L72"/>
      <c r="M72"/>
      <c r="P72" s="139"/>
      <c r="Q72" s="139"/>
      <c r="R72" s="139"/>
    </row>
  </sheetData>
  <mergeCells count="13">
    <mergeCell ref="I1:N1"/>
    <mergeCell ref="I2:N2"/>
    <mergeCell ref="I3:N3"/>
    <mergeCell ref="A4:L4"/>
    <mergeCell ref="A5:L5"/>
    <mergeCell ref="P70:R70"/>
    <mergeCell ref="P71:R71"/>
    <mergeCell ref="P72:R72"/>
    <mergeCell ref="I44:L44"/>
    <mergeCell ref="C45:F45"/>
    <mergeCell ref="I45:L45"/>
    <mergeCell ref="C46:F46"/>
    <mergeCell ref="C47:F47"/>
  </mergeCells>
  <printOptions horizontalCentered="1"/>
  <pageMargins left="0.31" right="0.35" top="0.38" bottom="0.36" header="0.28999999999999998" footer="0.28000000000000003"/>
  <pageSetup paperSize="9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:R62"/>
  <sheetViews>
    <sheetView topLeftCell="A10" zoomScale="80" zoomScaleNormal="80" workbookViewId="0">
      <selection activeCell="B7" sqref="B7:B29"/>
    </sheetView>
  </sheetViews>
  <sheetFormatPr baseColWidth="10" defaultColWidth="8.6640625" defaultRowHeight="13"/>
  <cols>
    <col min="1" max="1" width="6" customWidth="1"/>
    <col min="2" max="2" width="10" customWidth="1"/>
    <col min="3" max="3" width="18.5" customWidth="1"/>
    <col min="4" max="4" width="24.5" customWidth="1"/>
    <col min="5" max="5" width="7.6640625" style="4" customWidth="1"/>
    <col min="6" max="6" width="12.33203125" customWidth="1"/>
    <col min="7" max="7" width="21.6640625" style="4" customWidth="1"/>
    <col min="8" max="8" width="20.33203125" customWidth="1"/>
    <col min="9" max="9" width="21.6640625" customWidth="1"/>
    <col min="10" max="10" width="12.6640625" customWidth="1"/>
    <col min="12" max="13" width="9" customWidth="1"/>
    <col min="15" max="15" width="16.33203125" customWidth="1"/>
  </cols>
  <sheetData>
    <row r="1" spans="1:15" s="1" customFormat="1" ht="25.5" customHeight="1">
      <c r="A1" s="5"/>
      <c r="B1" s="5"/>
      <c r="C1" s="5"/>
      <c r="D1" s="5"/>
      <c r="E1" s="5"/>
      <c r="F1" s="5"/>
      <c r="G1" s="6"/>
      <c r="H1" s="6"/>
      <c r="I1" s="142" t="s">
        <v>0</v>
      </c>
      <c r="J1" s="142"/>
      <c r="K1" s="142"/>
      <c r="L1" s="142"/>
      <c r="M1" s="142"/>
      <c r="N1" s="142"/>
    </row>
    <row r="2" spans="1:15" s="1" customFormat="1" ht="25.5" customHeight="1">
      <c r="A2" s="7" t="s">
        <v>1</v>
      </c>
      <c r="B2" s="8"/>
      <c r="C2" s="5"/>
      <c r="D2" s="5"/>
      <c r="E2" s="5"/>
      <c r="F2" s="5"/>
      <c r="G2" s="6"/>
      <c r="H2" s="6"/>
      <c r="I2" s="142" t="s">
        <v>2</v>
      </c>
      <c r="J2" s="142"/>
      <c r="K2" s="142"/>
      <c r="L2" s="142"/>
      <c r="M2" s="142"/>
      <c r="N2" s="142"/>
    </row>
    <row r="3" spans="1:15" s="1" customFormat="1" ht="26">
      <c r="A3" s="7" t="s">
        <v>3</v>
      </c>
      <c r="B3" s="8"/>
      <c r="C3" s="5"/>
      <c r="D3" s="5"/>
      <c r="E3" s="5"/>
      <c r="F3" s="5"/>
      <c r="G3" s="9"/>
      <c r="H3" s="9"/>
      <c r="I3" s="143">
        <v>323</v>
      </c>
      <c r="J3" s="143"/>
      <c r="K3" s="143"/>
      <c r="L3" s="143"/>
      <c r="M3" s="143"/>
      <c r="N3" s="143"/>
    </row>
    <row r="4" spans="1:15" s="1" customFormat="1" ht="29">
      <c r="A4" s="144" t="s">
        <v>4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0"/>
    </row>
    <row r="5" spans="1:15" s="1" customFormat="1" ht="29.25" customHeight="1">
      <c r="A5" s="145" t="s">
        <v>437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1"/>
    </row>
    <row r="6" spans="1:15" ht="80">
      <c r="A6" s="12" t="s">
        <v>6</v>
      </c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3" t="s">
        <v>13</v>
      </c>
      <c r="I6" s="12" t="s">
        <v>14</v>
      </c>
      <c r="J6" s="12" t="s">
        <v>15</v>
      </c>
      <c r="K6" s="44" t="s">
        <v>16</v>
      </c>
      <c r="L6" s="44" t="s">
        <v>17</v>
      </c>
      <c r="M6" s="44" t="s">
        <v>18</v>
      </c>
      <c r="N6" s="12" t="s">
        <v>19</v>
      </c>
      <c r="O6" s="12" t="s">
        <v>20</v>
      </c>
    </row>
    <row r="7" spans="1:15" ht="29.25" customHeight="1">
      <c r="A7" s="39">
        <v>1</v>
      </c>
      <c r="B7" s="15">
        <v>8068</v>
      </c>
      <c r="C7" s="23" t="s">
        <v>438</v>
      </c>
      <c r="D7" s="23" t="s">
        <v>439</v>
      </c>
      <c r="E7" s="23" t="s">
        <v>33</v>
      </c>
      <c r="F7" s="23" t="s">
        <v>34</v>
      </c>
      <c r="G7" s="24" t="s">
        <v>440</v>
      </c>
      <c r="H7" s="86">
        <v>36696</v>
      </c>
      <c r="I7" s="59" t="s">
        <v>61</v>
      </c>
      <c r="J7" s="50" t="s">
        <v>62</v>
      </c>
      <c r="K7" s="23">
        <v>2019</v>
      </c>
      <c r="L7" s="69"/>
      <c r="M7" s="23">
        <v>8</v>
      </c>
      <c r="N7" s="51"/>
      <c r="O7" s="52" t="s">
        <v>441</v>
      </c>
    </row>
    <row r="8" spans="1:15" ht="29.25" customHeight="1">
      <c r="A8" s="39">
        <v>2</v>
      </c>
      <c r="B8" s="15">
        <v>8069</v>
      </c>
      <c r="C8" s="23" t="s">
        <v>442</v>
      </c>
      <c r="D8" s="23" t="s">
        <v>443</v>
      </c>
      <c r="E8" s="23" t="s">
        <v>33</v>
      </c>
      <c r="F8" s="23" t="s">
        <v>34</v>
      </c>
      <c r="G8" s="24" t="s">
        <v>444</v>
      </c>
      <c r="H8" s="86">
        <v>37615</v>
      </c>
      <c r="I8" s="49" t="s">
        <v>111</v>
      </c>
      <c r="J8" s="50" t="s">
        <v>28</v>
      </c>
      <c r="K8" s="23">
        <v>2019</v>
      </c>
      <c r="L8" s="68"/>
      <c r="M8" s="23">
        <v>59</v>
      </c>
      <c r="N8" s="51"/>
      <c r="O8" s="52"/>
    </row>
    <row r="9" spans="1:15" ht="29.25" customHeight="1">
      <c r="A9" s="39">
        <v>3</v>
      </c>
      <c r="B9" s="15">
        <v>8070</v>
      </c>
      <c r="C9" s="23" t="s">
        <v>445</v>
      </c>
      <c r="D9" s="23" t="s">
        <v>446</v>
      </c>
      <c r="E9" s="23" t="s">
        <v>33</v>
      </c>
      <c r="F9" s="23" t="s">
        <v>34</v>
      </c>
      <c r="G9" s="24" t="s">
        <v>447</v>
      </c>
      <c r="H9" s="86">
        <v>36948</v>
      </c>
      <c r="I9" s="49" t="s">
        <v>448</v>
      </c>
      <c r="J9" s="50" t="s">
        <v>449</v>
      </c>
      <c r="K9" s="23">
        <v>2019</v>
      </c>
      <c r="L9" s="68"/>
      <c r="M9" s="23">
        <v>4</v>
      </c>
      <c r="N9" s="51"/>
      <c r="O9" s="52" t="s">
        <v>450</v>
      </c>
    </row>
    <row r="10" spans="1:15" ht="29.25" customHeight="1">
      <c r="A10" s="39">
        <v>4</v>
      </c>
      <c r="B10" s="15">
        <v>8071</v>
      </c>
      <c r="C10" s="23" t="s">
        <v>451</v>
      </c>
      <c r="D10" s="23" t="s">
        <v>452</v>
      </c>
      <c r="E10" s="23" t="s">
        <v>33</v>
      </c>
      <c r="F10" s="23" t="s">
        <v>34</v>
      </c>
      <c r="G10" s="24" t="s">
        <v>398</v>
      </c>
      <c r="H10" s="86">
        <v>37257</v>
      </c>
      <c r="I10" s="49" t="s">
        <v>111</v>
      </c>
      <c r="J10" s="50" t="s">
        <v>28</v>
      </c>
      <c r="K10" s="23">
        <v>2019</v>
      </c>
      <c r="L10" s="68"/>
      <c r="M10" s="23">
        <v>58</v>
      </c>
      <c r="N10" s="51"/>
      <c r="O10" s="52" t="s">
        <v>453</v>
      </c>
    </row>
    <row r="11" spans="1:15" ht="29.25" customHeight="1">
      <c r="A11" s="39">
        <v>5</v>
      </c>
      <c r="B11" s="15">
        <v>8072</v>
      </c>
      <c r="C11" s="23" t="s">
        <v>454</v>
      </c>
      <c r="D11" s="23" t="s">
        <v>455</v>
      </c>
      <c r="E11" s="23" t="s">
        <v>33</v>
      </c>
      <c r="F11" s="23" t="s">
        <v>34</v>
      </c>
      <c r="G11" s="87" t="s">
        <v>456</v>
      </c>
      <c r="H11" s="69" t="s">
        <v>457</v>
      </c>
      <c r="I11" s="49" t="s">
        <v>458</v>
      </c>
      <c r="J11" s="50" t="s">
        <v>261</v>
      </c>
      <c r="K11" s="23">
        <v>2019</v>
      </c>
      <c r="L11" s="54"/>
      <c r="M11" s="23">
        <v>45</v>
      </c>
      <c r="N11" s="51"/>
      <c r="O11" s="52" t="s">
        <v>459</v>
      </c>
    </row>
    <row r="12" spans="1:15" ht="29.25" customHeight="1">
      <c r="A12" s="39">
        <v>6</v>
      </c>
      <c r="B12" s="15">
        <v>8073</v>
      </c>
      <c r="C12" s="23" t="s">
        <v>460</v>
      </c>
      <c r="D12" s="23" t="s">
        <v>461</v>
      </c>
      <c r="E12" s="23" t="s">
        <v>33</v>
      </c>
      <c r="F12" s="23" t="s">
        <v>34</v>
      </c>
      <c r="G12" s="24" t="s">
        <v>462</v>
      </c>
      <c r="H12" s="86">
        <v>37166</v>
      </c>
      <c r="I12" s="49" t="s">
        <v>463</v>
      </c>
      <c r="J12" s="50" t="s">
        <v>75</v>
      </c>
      <c r="K12" s="23">
        <v>2019</v>
      </c>
      <c r="L12" s="68"/>
      <c r="M12" s="23">
        <v>38</v>
      </c>
      <c r="N12" s="51"/>
      <c r="O12" s="52" t="s">
        <v>464</v>
      </c>
    </row>
    <row r="13" spans="1:15" ht="29.25" customHeight="1">
      <c r="A13" s="39">
        <v>7</v>
      </c>
      <c r="B13" s="15">
        <v>8074</v>
      </c>
      <c r="C13" s="23" t="s">
        <v>465</v>
      </c>
      <c r="D13" s="23" t="s">
        <v>466</v>
      </c>
      <c r="E13" s="23" t="s">
        <v>33</v>
      </c>
      <c r="F13" s="23" t="s">
        <v>34</v>
      </c>
      <c r="G13" s="87" t="s">
        <v>467</v>
      </c>
      <c r="H13" s="69" t="s">
        <v>272</v>
      </c>
      <c r="I13" s="49" t="s">
        <v>468</v>
      </c>
      <c r="J13" s="50" t="s">
        <v>75</v>
      </c>
      <c r="K13" s="23">
        <v>2019</v>
      </c>
      <c r="L13" s="68"/>
      <c r="M13" s="55">
        <v>36</v>
      </c>
      <c r="N13" s="51"/>
      <c r="O13" s="52" t="s">
        <v>469</v>
      </c>
    </row>
    <row r="14" spans="1:15" ht="29.25" customHeight="1">
      <c r="A14" s="39">
        <v>8</v>
      </c>
      <c r="B14" s="15">
        <v>8075</v>
      </c>
      <c r="C14" s="23" t="s">
        <v>465</v>
      </c>
      <c r="D14" s="23" t="s">
        <v>470</v>
      </c>
      <c r="E14" s="23" t="s">
        <v>33</v>
      </c>
      <c r="F14" s="23" t="s">
        <v>34</v>
      </c>
      <c r="G14" s="66" t="s">
        <v>471</v>
      </c>
      <c r="H14" s="86">
        <v>37140</v>
      </c>
      <c r="I14" s="90" t="s">
        <v>472</v>
      </c>
      <c r="J14" s="50" t="s">
        <v>28</v>
      </c>
      <c r="K14" s="23">
        <v>2019</v>
      </c>
      <c r="L14" s="69"/>
      <c r="M14" s="23">
        <v>7</v>
      </c>
      <c r="N14" s="51"/>
      <c r="O14" s="52" t="s">
        <v>473</v>
      </c>
    </row>
    <row r="15" spans="1:15" ht="29.25" customHeight="1">
      <c r="A15" s="39">
        <v>9</v>
      </c>
      <c r="B15" s="15">
        <v>8076</v>
      </c>
      <c r="C15" s="23" t="s">
        <v>474</v>
      </c>
      <c r="D15" s="23" t="s">
        <v>475</v>
      </c>
      <c r="E15" s="23" t="s">
        <v>33</v>
      </c>
      <c r="F15" s="23" t="s">
        <v>34</v>
      </c>
      <c r="G15" s="24" t="s">
        <v>476</v>
      </c>
      <c r="H15" s="86">
        <v>36296</v>
      </c>
      <c r="I15" s="49" t="s">
        <v>463</v>
      </c>
      <c r="J15" s="50" t="s">
        <v>148</v>
      </c>
      <c r="K15" s="23">
        <v>2019</v>
      </c>
      <c r="L15" s="68"/>
      <c r="M15" s="23">
        <v>49</v>
      </c>
      <c r="N15" s="51"/>
      <c r="O15" s="52" t="s">
        <v>477</v>
      </c>
    </row>
    <row r="16" spans="1:15" ht="29.25" customHeight="1">
      <c r="A16" s="39">
        <v>10</v>
      </c>
      <c r="B16" s="15">
        <v>8077</v>
      </c>
      <c r="C16" s="23" t="s">
        <v>478</v>
      </c>
      <c r="D16" s="23" t="s">
        <v>479</v>
      </c>
      <c r="E16" s="23" t="s">
        <v>33</v>
      </c>
      <c r="F16" s="23" t="s">
        <v>34</v>
      </c>
      <c r="G16" s="24" t="s">
        <v>480</v>
      </c>
      <c r="H16" s="86">
        <v>37642</v>
      </c>
      <c r="I16" s="49" t="s">
        <v>90</v>
      </c>
      <c r="J16" s="50" t="s">
        <v>28</v>
      </c>
      <c r="K16" s="23">
        <v>2019</v>
      </c>
      <c r="L16" s="68"/>
      <c r="M16" s="23">
        <v>5</v>
      </c>
      <c r="N16" s="51" t="s">
        <v>29</v>
      </c>
      <c r="O16" s="52" t="s">
        <v>481</v>
      </c>
    </row>
    <row r="17" spans="1:15" ht="29.25" customHeight="1">
      <c r="A17" s="39">
        <v>11</v>
      </c>
      <c r="B17" s="15">
        <v>8078</v>
      </c>
      <c r="C17" s="23" t="s">
        <v>482</v>
      </c>
      <c r="D17" s="23" t="s">
        <v>483</v>
      </c>
      <c r="E17" s="23" t="s">
        <v>33</v>
      </c>
      <c r="F17" s="23" t="s">
        <v>34</v>
      </c>
      <c r="G17" s="24" t="s">
        <v>484</v>
      </c>
      <c r="H17" s="86">
        <v>37080</v>
      </c>
      <c r="I17" s="49" t="s">
        <v>111</v>
      </c>
      <c r="J17" s="50" t="s">
        <v>28</v>
      </c>
      <c r="K17" s="23">
        <v>2019</v>
      </c>
      <c r="L17" s="68"/>
      <c r="M17" s="23">
        <v>50</v>
      </c>
      <c r="N17" s="51"/>
      <c r="O17" s="52" t="s">
        <v>485</v>
      </c>
    </row>
    <row r="18" spans="1:15" ht="29.25" customHeight="1">
      <c r="A18" s="39">
        <v>12</v>
      </c>
      <c r="B18" s="15">
        <v>8079</v>
      </c>
      <c r="C18" s="23" t="s">
        <v>486</v>
      </c>
      <c r="D18" s="23" t="s">
        <v>487</v>
      </c>
      <c r="E18" s="23" t="s">
        <v>33</v>
      </c>
      <c r="F18" s="23" t="s">
        <v>34</v>
      </c>
      <c r="G18" s="24" t="s">
        <v>488</v>
      </c>
      <c r="H18" s="86">
        <v>35922</v>
      </c>
      <c r="I18" s="49" t="s">
        <v>489</v>
      </c>
      <c r="J18" s="50" t="s">
        <v>28</v>
      </c>
      <c r="K18" s="23">
        <v>2019</v>
      </c>
      <c r="L18" s="68"/>
      <c r="M18" s="23">
        <v>17</v>
      </c>
      <c r="N18" s="51"/>
      <c r="O18" s="52" t="s">
        <v>490</v>
      </c>
    </row>
    <row r="19" spans="1:15" ht="29.25" customHeight="1">
      <c r="A19" s="39">
        <v>13</v>
      </c>
      <c r="B19" s="15">
        <v>8080</v>
      </c>
      <c r="C19" s="23" t="s">
        <v>491</v>
      </c>
      <c r="D19" s="23" t="s">
        <v>492</v>
      </c>
      <c r="E19" s="23" t="s">
        <v>33</v>
      </c>
      <c r="F19" s="23" t="s">
        <v>34</v>
      </c>
      <c r="G19" s="24" t="s">
        <v>493</v>
      </c>
      <c r="H19" s="69" t="s">
        <v>494</v>
      </c>
      <c r="I19" s="49" t="s">
        <v>111</v>
      </c>
      <c r="J19" s="50" t="s">
        <v>62</v>
      </c>
      <c r="K19" s="23">
        <v>2019</v>
      </c>
      <c r="L19" s="68"/>
      <c r="M19" s="23">
        <v>57</v>
      </c>
      <c r="N19" s="51"/>
      <c r="O19" s="52" t="s">
        <v>495</v>
      </c>
    </row>
    <row r="20" spans="1:15" ht="29.25" customHeight="1">
      <c r="A20" s="39">
        <v>14</v>
      </c>
      <c r="B20" s="15">
        <v>8081</v>
      </c>
      <c r="C20" s="23" t="s">
        <v>496</v>
      </c>
      <c r="D20" s="23" t="s">
        <v>497</v>
      </c>
      <c r="E20" s="23" t="s">
        <v>33</v>
      </c>
      <c r="F20" s="23" t="s">
        <v>34</v>
      </c>
      <c r="G20" s="24" t="s">
        <v>498</v>
      </c>
      <c r="H20" s="86">
        <v>37144</v>
      </c>
      <c r="I20" s="49" t="s">
        <v>499</v>
      </c>
      <c r="J20" s="50" t="s">
        <v>75</v>
      </c>
      <c r="K20" s="23">
        <v>2019</v>
      </c>
      <c r="L20" s="68"/>
      <c r="M20" s="23">
        <v>61</v>
      </c>
      <c r="N20" s="51"/>
      <c r="O20" s="52" t="s">
        <v>500</v>
      </c>
    </row>
    <row r="21" spans="1:15" ht="29.25" customHeight="1">
      <c r="A21" s="39">
        <v>15</v>
      </c>
      <c r="B21" s="15">
        <v>8082</v>
      </c>
      <c r="C21" s="23" t="s">
        <v>501</v>
      </c>
      <c r="D21" s="23" t="s">
        <v>502</v>
      </c>
      <c r="E21" s="23" t="s">
        <v>33</v>
      </c>
      <c r="F21" s="23" t="s">
        <v>34</v>
      </c>
      <c r="G21" s="66" t="s">
        <v>503</v>
      </c>
      <c r="H21" s="86">
        <v>36557</v>
      </c>
      <c r="I21" s="59" t="s">
        <v>43</v>
      </c>
      <c r="J21" s="50" t="s">
        <v>28</v>
      </c>
      <c r="K21" s="23">
        <v>2019</v>
      </c>
      <c r="L21" s="23"/>
      <c r="M21" s="23">
        <v>46</v>
      </c>
      <c r="N21" s="51"/>
      <c r="O21" s="91" t="s">
        <v>504</v>
      </c>
    </row>
    <row r="22" spans="1:15" ht="29.25" customHeight="1">
      <c r="A22" s="39">
        <v>16</v>
      </c>
      <c r="B22" s="15">
        <v>8083</v>
      </c>
      <c r="C22" s="23" t="s">
        <v>505</v>
      </c>
      <c r="D22" s="23" t="s">
        <v>506</v>
      </c>
      <c r="E22" s="23" t="s">
        <v>33</v>
      </c>
      <c r="F22" s="23" t="s">
        <v>34</v>
      </c>
      <c r="G22" s="24" t="s">
        <v>507</v>
      </c>
      <c r="H22" s="86">
        <v>35796</v>
      </c>
      <c r="I22" s="70" t="s">
        <v>111</v>
      </c>
      <c r="J22" s="50" t="s">
        <v>28</v>
      </c>
      <c r="K22" s="23">
        <v>2019</v>
      </c>
      <c r="L22" s="23"/>
      <c r="M22" s="23">
        <v>54</v>
      </c>
      <c r="N22" s="51"/>
      <c r="O22" s="52" t="s">
        <v>508</v>
      </c>
    </row>
    <row r="23" spans="1:15" ht="29.25" customHeight="1">
      <c r="A23" s="39">
        <v>17</v>
      </c>
      <c r="B23" s="15">
        <v>8084</v>
      </c>
      <c r="C23" s="23" t="s">
        <v>509</v>
      </c>
      <c r="D23" s="23" t="s">
        <v>510</v>
      </c>
      <c r="E23" s="23" t="s">
        <v>23</v>
      </c>
      <c r="F23" s="23" t="s">
        <v>24</v>
      </c>
      <c r="G23" s="24" t="s">
        <v>398</v>
      </c>
      <c r="H23" s="86">
        <v>37257</v>
      </c>
      <c r="I23" s="59" t="s">
        <v>511</v>
      </c>
      <c r="J23" s="50" t="s">
        <v>62</v>
      </c>
      <c r="K23" s="23">
        <v>2019</v>
      </c>
      <c r="L23" s="68"/>
      <c r="M23" s="23">
        <v>28</v>
      </c>
      <c r="N23" s="51"/>
      <c r="O23" s="52" t="s">
        <v>512</v>
      </c>
    </row>
    <row r="24" spans="1:15" ht="29.25" customHeight="1">
      <c r="A24" s="39">
        <v>18</v>
      </c>
      <c r="B24" s="15">
        <v>8085</v>
      </c>
      <c r="C24" s="23" t="s">
        <v>513</v>
      </c>
      <c r="D24" s="23" t="s">
        <v>514</v>
      </c>
      <c r="E24" s="23" t="s">
        <v>33</v>
      </c>
      <c r="F24" s="23" t="s">
        <v>34</v>
      </c>
      <c r="G24" s="87" t="s">
        <v>515</v>
      </c>
      <c r="H24" s="69" t="s">
        <v>516</v>
      </c>
      <c r="I24" s="70" t="s">
        <v>517</v>
      </c>
      <c r="J24" s="50" t="s">
        <v>28</v>
      </c>
      <c r="K24" s="23">
        <v>2019</v>
      </c>
      <c r="L24" s="68"/>
      <c r="M24" s="23">
        <v>23</v>
      </c>
      <c r="N24" s="51"/>
      <c r="O24" s="52" t="s">
        <v>518</v>
      </c>
    </row>
    <row r="25" spans="1:15" ht="29.25" customHeight="1">
      <c r="A25" s="39">
        <v>19</v>
      </c>
      <c r="B25" s="15">
        <v>8086</v>
      </c>
      <c r="C25" s="23" t="s">
        <v>519</v>
      </c>
      <c r="D25" s="23" t="s">
        <v>520</v>
      </c>
      <c r="E25" s="23" t="s">
        <v>33</v>
      </c>
      <c r="F25" s="23" t="s">
        <v>34</v>
      </c>
      <c r="G25" s="24" t="s">
        <v>521</v>
      </c>
      <c r="H25" s="86">
        <v>36751</v>
      </c>
      <c r="I25" s="49" t="s">
        <v>463</v>
      </c>
      <c r="J25" s="50" t="s">
        <v>148</v>
      </c>
      <c r="K25" s="23">
        <v>2019</v>
      </c>
      <c r="L25" s="23"/>
      <c r="M25" s="23">
        <v>19</v>
      </c>
      <c r="N25" s="51"/>
      <c r="O25" s="92" t="s">
        <v>522</v>
      </c>
    </row>
    <row r="26" spans="1:15" ht="29.25" customHeight="1">
      <c r="A26" s="39">
        <v>20</v>
      </c>
      <c r="B26" s="15">
        <v>8087</v>
      </c>
      <c r="C26" s="23" t="s">
        <v>523</v>
      </c>
      <c r="D26" s="23" t="s">
        <v>524</v>
      </c>
      <c r="E26" s="23" t="s">
        <v>23</v>
      </c>
      <c r="F26" s="23" t="s">
        <v>24</v>
      </c>
      <c r="G26" s="24" t="s">
        <v>525</v>
      </c>
      <c r="H26" s="86">
        <v>36438</v>
      </c>
      <c r="I26" s="49" t="s">
        <v>127</v>
      </c>
      <c r="J26" s="50" t="s">
        <v>28</v>
      </c>
      <c r="K26" s="23">
        <v>2019</v>
      </c>
      <c r="L26" s="68"/>
      <c r="M26" s="23">
        <v>5</v>
      </c>
      <c r="N26" s="51"/>
      <c r="O26" s="52" t="s">
        <v>526</v>
      </c>
    </row>
    <row r="27" spans="1:15" ht="29.25" customHeight="1">
      <c r="A27" s="39">
        <v>21</v>
      </c>
      <c r="B27" s="15">
        <v>8088</v>
      </c>
      <c r="C27" s="23" t="s">
        <v>527</v>
      </c>
      <c r="D27" s="23" t="s">
        <v>528</v>
      </c>
      <c r="E27" s="23" t="s">
        <v>33</v>
      </c>
      <c r="F27" s="23" t="s">
        <v>34</v>
      </c>
      <c r="G27" s="24" t="s">
        <v>529</v>
      </c>
      <c r="H27" s="86">
        <v>37141</v>
      </c>
      <c r="I27" s="59" t="s">
        <v>61</v>
      </c>
      <c r="J27" s="50" t="s">
        <v>62</v>
      </c>
      <c r="K27" s="23">
        <v>2019</v>
      </c>
      <c r="L27" s="68"/>
      <c r="M27" s="23">
        <v>6</v>
      </c>
      <c r="N27" s="51"/>
      <c r="O27" s="52" t="s">
        <v>530</v>
      </c>
    </row>
    <row r="28" spans="1:15" ht="29.25" customHeight="1">
      <c r="A28" s="39">
        <v>22</v>
      </c>
      <c r="B28" s="15">
        <v>8089</v>
      </c>
      <c r="C28" s="23" t="s">
        <v>531</v>
      </c>
      <c r="D28" s="23" t="s">
        <v>532</v>
      </c>
      <c r="E28" s="23" t="s">
        <v>23</v>
      </c>
      <c r="F28" s="23" t="s">
        <v>24</v>
      </c>
      <c r="G28" s="24" t="s">
        <v>493</v>
      </c>
      <c r="H28" s="86">
        <v>37516</v>
      </c>
      <c r="I28" s="49" t="s">
        <v>533</v>
      </c>
      <c r="J28" s="50" t="s">
        <v>534</v>
      </c>
      <c r="K28" s="23">
        <v>2019</v>
      </c>
      <c r="L28" s="68"/>
      <c r="M28" s="23">
        <v>20</v>
      </c>
      <c r="N28" s="51"/>
      <c r="O28" s="52" t="s">
        <v>535</v>
      </c>
    </row>
    <row r="29" spans="1:15" ht="29.25" customHeight="1">
      <c r="A29" s="39">
        <v>23</v>
      </c>
      <c r="B29" s="15">
        <v>8298</v>
      </c>
      <c r="C29" s="23" t="s">
        <v>536</v>
      </c>
      <c r="D29" s="23" t="s">
        <v>537</v>
      </c>
      <c r="E29" s="23" t="s">
        <v>23</v>
      </c>
      <c r="F29" s="23" t="s">
        <v>24</v>
      </c>
      <c r="G29" s="24" t="s">
        <v>211</v>
      </c>
      <c r="H29" s="86">
        <v>36935</v>
      </c>
      <c r="I29" s="49" t="s">
        <v>538</v>
      </c>
      <c r="J29" s="50" t="s">
        <v>28</v>
      </c>
      <c r="K29" s="23">
        <v>2019</v>
      </c>
      <c r="L29" s="68"/>
      <c r="M29" s="23">
        <v>22</v>
      </c>
      <c r="N29" t="s">
        <v>539</v>
      </c>
      <c r="O29" s="52" t="s">
        <v>540</v>
      </c>
    </row>
    <row r="30" spans="1:15" ht="29.25" customHeight="1">
      <c r="A30" s="39"/>
      <c r="B30" s="37"/>
      <c r="C30" s="23"/>
      <c r="D30" s="23"/>
      <c r="E30" s="23"/>
      <c r="F30" s="23"/>
      <c r="G30" s="24"/>
      <c r="H30" s="86"/>
      <c r="I30" s="49"/>
      <c r="J30" s="50"/>
      <c r="K30" s="23"/>
      <c r="L30" s="68"/>
      <c r="M30" s="23"/>
      <c r="N30" s="51"/>
      <c r="O30" s="52"/>
    </row>
    <row r="31" spans="1:15" ht="29.25" customHeight="1">
      <c r="A31" s="39">
        <v>25</v>
      </c>
      <c r="B31" s="37"/>
      <c r="C31" s="23"/>
      <c r="D31" s="23"/>
      <c r="E31" s="23"/>
      <c r="F31" s="23"/>
      <c r="G31" s="24"/>
      <c r="H31" s="86"/>
      <c r="I31" s="49"/>
      <c r="J31" s="50"/>
      <c r="K31" s="23"/>
      <c r="L31" s="68"/>
      <c r="M31" s="23"/>
      <c r="N31" s="51"/>
      <c r="O31" s="52"/>
    </row>
    <row r="32" spans="1:15" ht="29.25" customHeight="1">
      <c r="A32" s="39">
        <v>26</v>
      </c>
      <c r="B32" s="37"/>
      <c r="C32" s="23"/>
      <c r="D32" s="23"/>
      <c r="E32" s="23"/>
      <c r="F32" s="23"/>
      <c r="G32" s="24"/>
      <c r="H32" s="86"/>
      <c r="I32" s="49"/>
      <c r="J32" s="50"/>
      <c r="K32" s="23"/>
      <c r="L32" s="68"/>
      <c r="M32" s="23"/>
      <c r="N32" s="51"/>
      <c r="O32" s="52"/>
    </row>
    <row r="33" spans="1:15" ht="29.25" customHeight="1">
      <c r="A33" s="39">
        <v>27</v>
      </c>
      <c r="B33" s="37"/>
      <c r="C33" s="23"/>
      <c r="D33" s="23"/>
      <c r="E33" s="23"/>
      <c r="F33" s="23"/>
      <c r="G33" s="24"/>
      <c r="H33" s="86"/>
      <c r="I33" s="49"/>
      <c r="J33" s="50"/>
      <c r="K33" s="23"/>
      <c r="L33" s="68"/>
      <c r="M33" s="23"/>
      <c r="N33" s="51"/>
      <c r="O33" s="52"/>
    </row>
    <row r="34" spans="1:15" ht="29.25" customHeight="1">
      <c r="A34" s="39">
        <v>39</v>
      </c>
      <c r="B34" s="37"/>
      <c r="C34" s="23"/>
      <c r="D34" s="23"/>
      <c r="E34" s="23"/>
      <c r="F34" s="23"/>
      <c r="G34" s="24"/>
      <c r="H34" s="86"/>
      <c r="I34" s="59"/>
      <c r="J34" s="50"/>
      <c r="K34" s="23"/>
      <c r="L34" s="23"/>
      <c r="M34" s="23"/>
      <c r="N34" s="51"/>
      <c r="O34" s="52"/>
    </row>
    <row r="35" spans="1:15" ht="24" customHeight="1">
      <c r="A35" s="40" t="s">
        <v>173</v>
      </c>
      <c r="B35" s="3"/>
      <c r="C35" s="88"/>
      <c r="D35" s="88"/>
      <c r="E35" s="88"/>
      <c r="F35" s="88"/>
      <c r="G35" s="3"/>
      <c r="I35" s="60" t="s">
        <v>174</v>
      </c>
      <c r="J35" s="60"/>
      <c r="K35" s="60"/>
      <c r="L35" s="60"/>
      <c r="M35" s="3"/>
      <c r="N35">
        <f>COUNTIF(E5:E34,"ស្រី")</f>
        <v>19</v>
      </c>
    </row>
    <row r="36" spans="1:15" ht="24" customHeight="1">
      <c r="A36" s="3"/>
      <c r="B36" s="3"/>
      <c r="C36" s="89"/>
      <c r="D36" s="89"/>
      <c r="E36" s="89"/>
      <c r="F36" s="89"/>
      <c r="G36" s="40"/>
      <c r="H36" s="40"/>
      <c r="I36" s="140" t="s">
        <v>175</v>
      </c>
      <c r="J36" s="140"/>
      <c r="K36" s="140"/>
      <c r="L36" s="140"/>
      <c r="M36" s="61"/>
    </row>
    <row r="37" spans="1:15" ht="24" customHeight="1">
      <c r="A37" s="41"/>
      <c r="B37" s="41"/>
      <c r="C37" s="162" t="s">
        <v>176</v>
      </c>
      <c r="D37" s="162"/>
      <c r="E37" s="89"/>
      <c r="F37" s="89"/>
      <c r="G37" s="43"/>
      <c r="H37" s="43"/>
      <c r="I37" s="141" t="s">
        <v>177</v>
      </c>
      <c r="J37" s="141"/>
      <c r="K37" s="141"/>
      <c r="L37" s="141"/>
      <c r="M37" s="42"/>
      <c r="N37" s="62"/>
    </row>
    <row r="38" spans="1:15" ht="24" customHeight="1">
      <c r="A38" s="41"/>
      <c r="B38" s="41"/>
      <c r="C38" s="162" t="s">
        <v>178</v>
      </c>
      <c r="D38" s="162"/>
      <c r="E38" s="89"/>
      <c r="F38" s="89"/>
      <c r="G38" s="3"/>
      <c r="H38" s="3"/>
      <c r="I38" s="3"/>
      <c r="J38" s="3"/>
      <c r="K38" s="3"/>
      <c r="L38" s="3"/>
      <c r="M38" s="3"/>
    </row>
    <row r="39" spans="1:15" ht="24" customHeight="1">
      <c r="A39" s="41"/>
      <c r="B39" s="41"/>
      <c r="C39" s="162" t="s">
        <v>179</v>
      </c>
      <c r="D39" s="162"/>
      <c r="E39" s="89"/>
      <c r="F39" s="89"/>
      <c r="G39" s="3"/>
      <c r="H39" s="3"/>
      <c r="I39" s="3"/>
      <c r="J39" s="3"/>
      <c r="K39" s="3"/>
      <c r="L39" s="3"/>
      <c r="M39" s="3"/>
    </row>
    <row r="40" spans="1:15" ht="24" customHeight="1">
      <c r="C40" s="89"/>
      <c r="D40" s="89"/>
      <c r="E40" s="89"/>
      <c r="F40" s="89"/>
    </row>
    <row r="41" spans="1:15" ht="24" customHeight="1">
      <c r="C41" s="89"/>
      <c r="D41" s="89"/>
      <c r="E41" s="89"/>
      <c r="F41" s="89"/>
    </row>
    <row r="42" spans="1:15" ht="24" customHeight="1">
      <c r="C42" s="89" t="s">
        <v>254</v>
      </c>
      <c r="D42" s="89">
        <f>COUNTA(C7:C29)</f>
        <v>23</v>
      </c>
      <c r="E42" s="89"/>
      <c r="F42" s="89"/>
    </row>
    <row r="43" spans="1:15" ht="24" customHeight="1">
      <c r="C43" s="89" t="s">
        <v>255</v>
      </c>
      <c r="D43" s="89">
        <f>COUNTIF(E7:E29,E27)</f>
        <v>19</v>
      </c>
      <c r="E43" s="89"/>
      <c r="F43" s="89"/>
    </row>
    <row r="44" spans="1:15" ht="24" customHeight="1">
      <c r="C44" s="89"/>
      <c r="D44" s="89"/>
      <c r="E44" s="89"/>
      <c r="F44" s="89"/>
    </row>
    <row r="45" spans="1:15" ht="24" customHeight="1">
      <c r="C45" s="89"/>
      <c r="D45" s="89"/>
      <c r="E45" s="89"/>
      <c r="F45" s="89"/>
    </row>
    <row r="46" spans="1:15" ht="24" customHeight="1">
      <c r="C46" s="89"/>
      <c r="D46" s="89"/>
      <c r="E46" s="89"/>
      <c r="F46" s="89"/>
    </row>
    <row r="47" spans="1:15" ht="24" customHeight="1">
      <c r="C47" s="89"/>
      <c r="D47" s="89"/>
      <c r="E47" s="89"/>
      <c r="F47" s="89"/>
    </row>
    <row r="48" spans="1:15" ht="24" customHeight="1">
      <c r="C48" s="89"/>
      <c r="D48" s="89"/>
      <c r="E48" s="89"/>
      <c r="F48" s="89"/>
    </row>
    <row r="49" spans="1:18" ht="24" customHeight="1">
      <c r="C49" s="89"/>
      <c r="D49" s="89"/>
      <c r="E49" s="89"/>
      <c r="F49" s="89"/>
    </row>
    <row r="50" spans="1:18" ht="24" customHeight="1">
      <c r="C50" s="89"/>
      <c r="D50" s="89"/>
      <c r="E50" s="89"/>
      <c r="F50" s="89"/>
    </row>
    <row r="51" spans="1:18" ht="24" customHeight="1">
      <c r="C51" s="89"/>
      <c r="D51" s="89"/>
      <c r="E51" s="89"/>
      <c r="F51" s="89"/>
    </row>
    <row r="52" spans="1:18" ht="24" customHeight="1">
      <c r="C52" s="89"/>
      <c r="D52" s="89"/>
      <c r="E52" s="89"/>
      <c r="F52" s="89"/>
    </row>
    <row r="53" spans="1:18" ht="24" customHeight="1"/>
    <row r="54" spans="1:18" ht="24" customHeight="1"/>
    <row r="55" spans="1:18" ht="24" customHeight="1"/>
    <row r="56" spans="1:18" ht="24" customHeight="1"/>
    <row r="57" spans="1:18" ht="24" customHeight="1"/>
    <row r="58" spans="1:18" s="3" customFormat="1" ht="24">
      <c r="A58"/>
      <c r="B58"/>
      <c r="C58"/>
      <c r="D58"/>
      <c r="E58" s="4"/>
      <c r="F58"/>
      <c r="G58" s="4"/>
      <c r="H58"/>
      <c r="I58"/>
      <c r="J58"/>
      <c r="K58"/>
      <c r="L58"/>
      <c r="M58"/>
    </row>
    <row r="59" spans="1:18" s="3" customFormat="1" ht="24">
      <c r="A59"/>
      <c r="B59"/>
      <c r="C59"/>
      <c r="D59"/>
      <c r="E59" s="4"/>
      <c r="F59"/>
      <c r="G59" s="4"/>
      <c r="H59"/>
      <c r="I59"/>
      <c r="J59"/>
      <c r="K59"/>
      <c r="L59"/>
      <c r="M59"/>
      <c r="O59" s="40">
        <f>COUNTIF(E7:E26,"ស្រី")</f>
        <v>18</v>
      </c>
      <c r="P59" s="40"/>
      <c r="Q59" s="40"/>
      <c r="R59" s="40"/>
    </row>
    <row r="60" spans="1:18" s="3" customFormat="1" ht="24">
      <c r="A60"/>
      <c r="B60"/>
      <c r="C60"/>
      <c r="D60"/>
      <c r="E60" s="4"/>
      <c r="F60"/>
      <c r="G60" s="4"/>
      <c r="H60"/>
      <c r="I60"/>
      <c r="J60"/>
      <c r="K60"/>
      <c r="L60"/>
      <c r="M60"/>
      <c r="O60" s="40"/>
      <c r="P60" s="139"/>
      <c r="Q60" s="139"/>
      <c r="R60" s="139"/>
    </row>
    <row r="61" spans="1:18" s="3" customFormat="1" ht="24">
      <c r="A61"/>
      <c r="B61"/>
      <c r="C61"/>
      <c r="D61"/>
      <c r="E61" s="4"/>
      <c r="F61"/>
      <c r="G61" s="4"/>
      <c r="H61"/>
      <c r="I61"/>
      <c r="J61"/>
      <c r="K61"/>
      <c r="L61"/>
      <c r="M61"/>
      <c r="P61" s="139"/>
      <c r="Q61" s="139"/>
      <c r="R61" s="139"/>
    </row>
    <row r="62" spans="1:18" s="3" customFormat="1" ht="24">
      <c r="A62"/>
      <c r="B62"/>
      <c r="C62"/>
      <c r="D62"/>
      <c r="E62" s="4"/>
      <c r="F62"/>
      <c r="G62" s="4"/>
      <c r="H62"/>
      <c r="I62"/>
      <c r="J62"/>
      <c r="K62"/>
      <c r="L62"/>
      <c r="M62"/>
      <c r="P62" s="139"/>
      <c r="Q62" s="139"/>
      <c r="R62" s="139"/>
    </row>
  </sheetData>
  <mergeCells count="13">
    <mergeCell ref="I1:N1"/>
    <mergeCell ref="I2:N2"/>
    <mergeCell ref="I3:N3"/>
    <mergeCell ref="A4:L4"/>
    <mergeCell ref="A5:L5"/>
    <mergeCell ref="P60:R60"/>
    <mergeCell ref="P61:R61"/>
    <mergeCell ref="P62:R62"/>
    <mergeCell ref="I36:L36"/>
    <mergeCell ref="C37:D37"/>
    <mergeCell ref="I37:L37"/>
    <mergeCell ref="C38:D38"/>
    <mergeCell ref="C39:D39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11"/>
  </sheetPr>
  <dimension ref="A1:R74"/>
  <sheetViews>
    <sheetView topLeftCell="A32" zoomScale="69" zoomScaleNormal="69" workbookViewId="0">
      <selection activeCell="B7" sqref="B7:B47"/>
    </sheetView>
  </sheetViews>
  <sheetFormatPr baseColWidth="10" defaultColWidth="8.6640625" defaultRowHeight="24" customHeight="1"/>
  <cols>
    <col min="1" max="1" width="6" customWidth="1"/>
    <col min="2" max="2" width="12.6640625" customWidth="1"/>
    <col min="3" max="3" width="18.5" customWidth="1"/>
    <col min="4" max="4" width="24.5" customWidth="1"/>
    <col min="5" max="5" width="7.6640625" style="4" customWidth="1"/>
    <col min="6" max="6" width="12.33203125" customWidth="1"/>
    <col min="7" max="7" width="21.6640625" style="4" customWidth="1"/>
    <col min="8" max="8" width="20.33203125" customWidth="1"/>
    <col min="9" max="9" width="21.6640625" customWidth="1"/>
    <col min="10" max="10" width="12.6640625" customWidth="1"/>
    <col min="11" max="11" width="9.6640625" customWidth="1"/>
    <col min="12" max="13" width="9" customWidth="1"/>
    <col min="15" max="15" width="18.6640625" customWidth="1"/>
  </cols>
  <sheetData>
    <row r="1" spans="1:15" s="1" customFormat="1" ht="25.5" customHeight="1">
      <c r="A1" s="5"/>
      <c r="B1" s="5"/>
      <c r="C1" s="5"/>
      <c r="D1" s="5"/>
      <c r="E1" s="5"/>
      <c r="F1" s="5"/>
      <c r="G1" s="6"/>
      <c r="H1" s="6"/>
      <c r="I1" s="142" t="s">
        <v>0</v>
      </c>
      <c r="J1" s="142"/>
      <c r="K1" s="142"/>
      <c r="L1" s="142"/>
      <c r="M1" s="142"/>
      <c r="N1" s="142"/>
    </row>
    <row r="2" spans="1:15" s="1" customFormat="1" ht="25.5" customHeight="1">
      <c r="A2" s="7" t="s">
        <v>1</v>
      </c>
      <c r="B2" s="8"/>
      <c r="C2" s="5"/>
      <c r="D2" s="5"/>
      <c r="E2" s="5"/>
      <c r="F2" s="5"/>
      <c r="G2" s="6"/>
      <c r="H2" s="6"/>
      <c r="I2" s="142" t="s">
        <v>2</v>
      </c>
      <c r="J2" s="142"/>
      <c r="K2" s="142"/>
      <c r="L2" s="142"/>
      <c r="M2" s="142"/>
      <c r="N2" s="142"/>
    </row>
    <row r="3" spans="1:15" s="1" customFormat="1" ht="26">
      <c r="A3" s="7" t="s">
        <v>3</v>
      </c>
      <c r="B3" s="8"/>
      <c r="C3" s="5"/>
      <c r="D3" s="5"/>
      <c r="E3" s="5"/>
      <c r="F3" s="5"/>
      <c r="G3" s="9"/>
      <c r="H3" s="9"/>
      <c r="I3" s="143">
        <v>323</v>
      </c>
      <c r="J3" s="143"/>
      <c r="K3" s="143"/>
      <c r="L3" s="143"/>
      <c r="M3" s="143"/>
      <c r="N3" s="143"/>
    </row>
    <row r="4" spans="1:15" s="1" customFormat="1" ht="29">
      <c r="A4" s="144" t="s">
        <v>4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0"/>
    </row>
    <row r="5" spans="1:15" s="1" customFormat="1" ht="29.25" customHeight="1">
      <c r="A5" s="145" t="s">
        <v>541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1"/>
    </row>
    <row r="6" spans="1:15" ht="80">
      <c r="A6" s="12" t="s">
        <v>6</v>
      </c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3" t="s">
        <v>13</v>
      </c>
      <c r="I6" s="12" t="s">
        <v>14</v>
      </c>
      <c r="J6" s="12" t="s">
        <v>15</v>
      </c>
      <c r="K6" s="44" t="s">
        <v>16</v>
      </c>
      <c r="L6" s="44" t="s">
        <v>17</v>
      </c>
      <c r="M6" s="44" t="s">
        <v>18</v>
      </c>
      <c r="N6" s="12" t="s">
        <v>19</v>
      </c>
      <c r="O6" s="12" t="s">
        <v>20</v>
      </c>
    </row>
    <row r="7" spans="1:15" ht="29.25" customHeight="1">
      <c r="A7" s="39">
        <v>10</v>
      </c>
      <c r="B7" s="15">
        <v>8090</v>
      </c>
      <c r="C7" s="22" t="s">
        <v>542</v>
      </c>
      <c r="D7" s="23" t="s">
        <v>543</v>
      </c>
      <c r="E7" s="22" t="s">
        <v>23</v>
      </c>
      <c r="F7" s="23" t="s">
        <v>24</v>
      </c>
      <c r="G7" s="24" t="s">
        <v>544</v>
      </c>
      <c r="H7" s="23" t="s">
        <v>545</v>
      </c>
      <c r="I7" s="59" t="s">
        <v>111</v>
      </c>
      <c r="J7" s="50" t="s">
        <v>28</v>
      </c>
      <c r="K7" s="23">
        <v>2019</v>
      </c>
      <c r="L7" s="23"/>
      <c r="M7" s="55">
        <v>14</v>
      </c>
      <c r="N7" s="51"/>
      <c r="O7" s="52" t="s">
        <v>546</v>
      </c>
    </row>
    <row r="8" spans="1:15" ht="29.25" customHeight="1">
      <c r="A8" s="39">
        <v>35</v>
      </c>
      <c r="B8" s="15">
        <v>8091</v>
      </c>
      <c r="C8" s="23" t="s">
        <v>547</v>
      </c>
      <c r="D8" s="23" t="s">
        <v>548</v>
      </c>
      <c r="E8" s="23" t="s">
        <v>23</v>
      </c>
      <c r="F8" s="23" t="s">
        <v>24</v>
      </c>
      <c r="G8" s="24" t="s">
        <v>549</v>
      </c>
      <c r="H8" s="23" t="s">
        <v>550</v>
      </c>
      <c r="I8" s="49" t="s">
        <v>61</v>
      </c>
      <c r="J8" s="50" t="s">
        <v>28</v>
      </c>
      <c r="K8" s="23">
        <v>2019</v>
      </c>
      <c r="L8" s="23"/>
      <c r="M8" s="55">
        <v>36</v>
      </c>
      <c r="N8" s="51"/>
      <c r="O8" s="55" t="s">
        <v>551</v>
      </c>
    </row>
    <row r="9" spans="1:15" ht="29.25" customHeight="1">
      <c r="A9" s="39">
        <v>18</v>
      </c>
      <c r="B9" s="15">
        <v>8092</v>
      </c>
      <c r="C9" s="23" t="s">
        <v>552</v>
      </c>
      <c r="D9" s="23" t="s">
        <v>553</v>
      </c>
      <c r="E9" s="23" t="s">
        <v>23</v>
      </c>
      <c r="F9" s="23" t="s">
        <v>24</v>
      </c>
      <c r="G9" s="24" t="s">
        <v>554</v>
      </c>
      <c r="H9" s="23" t="s">
        <v>555</v>
      </c>
      <c r="I9" s="59" t="s">
        <v>90</v>
      </c>
      <c r="J9" s="50" t="s">
        <v>28</v>
      </c>
      <c r="K9" s="23">
        <v>2019</v>
      </c>
      <c r="L9" s="72"/>
      <c r="M9" s="55">
        <v>5</v>
      </c>
      <c r="N9" s="51" t="s">
        <v>29</v>
      </c>
      <c r="O9" s="55" t="s">
        <v>556</v>
      </c>
    </row>
    <row r="10" spans="1:15" ht="29.25" customHeight="1">
      <c r="A10" s="39">
        <v>19</v>
      </c>
      <c r="B10" s="15">
        <v>8093</v>
      </c>
      <c r="C10" s="23" t="s">
        <v>557</v>
      </c>
      <c r="D10" s="23" t="s">
        <v>558</v>
      </c>
      <c r="E10" s="23" t="s">
        <v>33</v>
      </c>
      <c r="F10" s="23" t="s">
        <v>34</v>
      </c>
      <c r="G10" s="24" t="s">
        <v>559</v>
      </c>
      <c r="H10" s="23" t="s">
        <v>560</v>
      </c>
      <c r="I10" s="49" t="s">
        <v>43</v>
      </c>
      <c r="J10" s="50" t="s">
        <v>28</v>
      </c>
      <c r="K10" s="23">
        <v>2019</v>
      </c>
      <c r="L10" s="68"/>
      <c r="M10" s="55">
        <v>55</v>
      </c>
      <c r="N10" s="51"/>
      <c r="O10" s="55" t="s">
        <v>561</v>
      </c>
    </row>
    <row r="11" spans="1:15" ht="29.25" customHeight="1">
      <c r="A11" s="39">
        <v>36</v>
      </c>
      <c r="B11" s="15">
        <v>8094</v>
      </c>
      <c r="C11" s="23" t="s">
        <v>562</v>
      </c>
      <c r="D11" s="23" t="s">
        <v>563</v>
      </c>
      <c r="E11" s="23" t="s">
        <v>23</v>
      </c>
      <c r="F11" s="23" t="s">
        <v>24</v>
      </c>
      <c r="G11" s="24" t="s">
        <v>564</v>
      </c>
      <c r="H11" s="23" t="s">
        <v>565</v>
      </c>
      <c r="I11" s="49" t="s">
        <v>566</v>
      </c>
      <c r="J11" s="50" t="s">
        <v>28</v>
      </c>
      <c r="K11" s="23">
        <v>2019</v>
      </c>
      <c r="L11" s="23"/>
      <c r="M11" s="55">
        <v>10</v>
      </c>
      <c r="N11" s="51"/>
      <c r="O11" s="55" t="s">
        <v>567</v>
      </c>
    </row>
    <row r="12" spans="1:15" ht="29.25" customHeight="1">
      <c r="A12" s="39">
        <v>3</v>
      </c>
      <c r="B12" s="15">
        <v>8095</v>
      </c>
      <c r="C12" s="22" t="s">
        <v>568</v>
      </c>
      <c r="D12" s="63" t="s">
        <v>569</v>
      </c>
      <c r="E12" s="24" t="s">
        <v>33</v>
      </c>
      <c r="F12" s="23" t="s">
        <v>34</v>
      </c>
      <c r="G12" s="24" t="s">
        <v>570</v>
      </c>
      <c r="H12" s="23" t="s">
        <v>571</v>
      </c>
      <c r="I12" s="59" t="s">
        <v>84</v>
      </c>
      <c r="J12" s="50" t="s">
        <v>28</v>
      </c>
      <c r="K12" s="23">
        <v>2019</v>
      </c>
      <c r="L12" s="23"/>
      <c r="M12" s="55">
        <v>15</v>
      </c>
      <c r="N12" s="51"/>
      <c r="O12" s="52" t="s">
        <v>572</v>
      </c>
    </row>
    <row r="13" spans="1:15" ht="29.25" customHeight="1">
      <c r="A13" s="39">
        <v>28</v>
      </c>
      <c r="B13" s="15">
        <v>8096</v>
      </c>
      <c r="C13" s="23" t="s">
        <v>573</v>
      </c>
      <c r="D13" s="23" t="s">
        <v>574</v>
      </c>
      <c r="E13" s="23" t="s">
        <v>33</v>
      </c>
      <c r="F13" s="23" t="s">
        <v>34</v>
      </c>
      <c r="G13" s="24" t="s">
        <v>575</v>
      </c>
      <c r="H13" s="23" t="s">
        <v>576</v>
      </c>
      <c r="I13" s="49" t="s">
        <v>43</v>
      </c>
      <c r="J13" s="50" t="s">
        <v>28</v>
      </c>
      <c r="K13" s="23">
        <v>2019</v>
      </c>
      <c r="L13" s="68"/>
      <c r="M13" s="55">
        <v>20</v>
      </c>
      <c r="N13" s="51"/>
      <c r="O13" s="55" t="s">
        <v>577</v>
      </c>
    </row>
    <row r="14" spans="1:15" ht="29.25" customHeight="1">
      <c r="A14" s="39">
        <v>37</v>
      </c>
      <c r="B14" s="15">
        <v>8097</v>
      </c>
      <c r="C14" s="23" t="s">
        <v>578</v>
      </c>
      <c r="D14" s="23" t="s">
        <v>579</v>
      </c>
      <c r="E14" s="23" t="s">
        <v>23</v>
      </c>
      <c r="F14" s="23" t="s">
        <v>24</v>
      </c>
      <c r="G14" s="24" t="s">
        <v>549</v>
      </c>
      <c r="H14" s="23" t="s">
        <v>550</v>
      </c>
      <c r="I14" s="70" t="s">
        <v>580</v>
      </c>
      <c r="J14" s="50" t="s">
        <v>28</v>
      </c>
      <c r="K14" s="23">
        <v>2019</v>
      </c>
      <c r="L14" s="23"/>
      <c r="M14" s="55">
        <v>25</v>
      </c>
      <c r="N14" s="51"/>
      <c r="O14" s="55" t="s">
        <v>581</v>
      </c>
    </row>
    <row r="15" spans="1:15" ht="29.25" customHeight="1">
      <c r="A15" s="39">
        <v>20</v>
      </c>
      <c r="B15" s="15">
        <v>8098</v>
      </c>
      <c r="C15" s="23" t="s">
        <v>582</v>
      </c>
      <c r="D15" s="23" t="s">
        <v>583</v>
      </c>
      <c r="E15" s="23" t="s">
        <v>33</v>
      </c>
      <c r="F15" s="23" t="s">
        <v>34</v>
      </c>
      <c r="G15" s="24" t="s">
        <v>584</v>
      </c>
      <c r="H15" s="23" t="s">
        <v>585</v>
      </c>
      <c r="I15" s="49" t="s">
        <v>43</v>
      </c>
      <c r="J15" s="50" t="s">
        <v>28</v>
      </c>
      <c r="K15" s="23">
        <v>2019</v>
      </c>
      <c r="L15" s="68"/>
      <c r="M15" s="55">
        <v>57</v>
      </c>
      <c r="N15" s="51"/>
      <c r="O15" s="55" t="s">
        <v>586</v>
      </c>
    </row>
    <row r="16" spans="1:15" ht="29.25" customHeight="1">
      <c r="A16" s="39">
        <v>8</v>
      </c>
      <c r="B16" s="15">
        <v>8099</v>
      </c>
      <c r="C16" s="22" t="s">
        <v>587</v>
      </c>
      <c r="D16" s="23" t="s">
        <v>588</v>
      </c>
      <c r="E16" s="22" t="s">
        <v>23</v>
      </c>
      <c r="F16" s="23" t="s">
        <v>24</v>
      </c>
      <c r="G16" s="24" t="s">
        <v>589</v>
      </c>
      <c r="H16" s="23" t="s">
        <v>590</v>
      </c>
      <c r="I16" s="59" t="s">
        <v>206</v>
      </c>
      <c r="J16" s="50" t="s">
        <v>62</v>
      </c>
      <c r="K16" s="23">
        <v>2019</v>
      </c>
      <c r="L16" s="72"/>
      <c r="M16" s="55">
        <v>50</v>
      </c>
      <c r="N16" s="51"/>
      <c r="O16" s="52" t="s">
        <v>591</v>
      </c>
    </row>
    <row r="17" spans="1:15" ht="29.25" customHeight="1">
      <c r="A17" s="39">
        <v>24</v>
      </c>
      <c r="B17" s="15">
        <v>8100</v>
      </c>
      <c r="C17" s="23" t="s">
        <v>592</v>
      </c>
      <c r="D17" s="23" t="s">
        <v>593</v>
      </c>
      <c r="E17" s="23" t="s">
        <v>23</v>
      </c>
      <c r="F17" s="23" t="s">
        <v>24</v>
      </c>
      <c r="G17" s="24" t="s">
        <v>594</v>
      </c>
      <c r="H17" s="23" t="s">
        <v>595</v>
      </c>
      <c r="I17" s="59" t="s">
        <v>90</v>
      </c>
      <c r="J17" s="50" t="s">
        <v>28</v>
      </c>
      <c r="K17" s="23">
        <v>2019</v>
      </c>
      <c r="L17" s="68"/>
      <c r="M17" s="55">
        <v>35</v>
      </c>
      <c r="N17" s="51"/>
      <c r="O17" s="55" t="s">
        <v>596</v>
      </c>
    </row>
    <row r="18" spans="1:15" ht="29.25" customHeight="1">
      <c r="A18" s="39">
        <v>5</v>
      </c>
      <c r="B18" s="15">
        <v>8101</v>
      </c>
      <c r="C18" s="22" t="s">
        <v>597</v>
      </c>
      <c r="D18" s="23" t="s">
        <v>598</v>
      </c>
      <c r="E18" s="22" t="s">
        <v>23</v>
      </c>
      <c r="F18" s="23" t="s">
        <v>24</v>
      </c>
      <c r="G18" s="24" t="s">
        <v>599</v>
      </c>
      <c r="H18" s="23" t="s">
        <v>600</v>
      </c>
      <c r="I18" s="81" t="s">
        <v>601</v>
      </c>
      <c r="J18" s="50" t="s">
        <v>602</v>
      </c>
      <c r="K18" s="23">
        <v>2019</v>
      </c>
      <c r="L18" s="71"/>
      <c r="M18" s="55">
        <v>48</v>
      </c>
      <c r="N18" s="51"/>
      <c r="O18" s="52" t="s">
        <v>603</v>
      </c>
    </row>
    <row r="19" spans="1:15" ht="29.25" customHeight="1">
      <c r="A19" s="39">
        <v>23</v>
      </c>
      <c r="B19" s="15">
        <v>8102</v>
      </c>
      <c r="C19" s="23" t="s">
        <v>604</v>
      </c>
      <c r="D19" s="23" t="s">
        <v>605</v>
      </c>
      <c r="E19" s="23" t="s">
        <v>33</v>
      </c>
      <c r="F19" s="23" t="s">
        <v>34</v>
      </c>
      <c r="G19" s="24" t="s">
        <v>313</v>
      </c>
      <c r="H19" s="23" t="s">
        <v>314</v>
      </c>
      <c r="I19" s="59" t="s">
        <v>90</v>
      </c>
      <c r="J19" s="50" t="s">
        <v>28</v>
      </c>
      <c r="K19" s="23">
        <v>2019</v>
      </c>
      <c r="L19" s="68"/>
      <c r="M19" s="55">
        <v>17</v>
      </c>
      <c r="N19" s="51"/>
      <c r="O19" s="55" t="s">
        <v>606</v>
      </c>
    </row>
    <row r="20" spans="1:15" ht="29.25" customHeight="1">
      <c r="A20" s="39">
        <v>32</v>
      </c>
      <c r="B20" s="15">
        <v>8103</v>
      </c>
      <c r="C20" s="23" t="s">
        <v>607</v>
      </c>
      <c r="D20" s="23" t="s">
        <v>608</v>
      </c>
      <c r="E20" s="23" t="s">
        <v>23</v>
      </c>
      <c r="F20" s="23" t="s">
        <v>24</v>
      </c>
      <c r="G20" s="24" t="s">
        <v>609</v>
      </c>
      <c r="H20" s="23" t="s">
        <v>610</v>
      </c>
      <c r="I20" s="49" t="s">
        <v>611</v>
      </c>
      <c r="J20" s="58" t="s">
        <v>612</v>
      </c>
      <c r="K20" s="23">
        <v>2019</v>
      </c>
      <c r="L20" s="68"/>
      <c r="M20" s="55">
        <v>42</v>
      </c>
      <c r="N20" s="51"/>
      <c r="O20" s="55" t="s">
        <v>613</v>
      </c>
    </row>
    <row r="21" spans="1:15" ht="29.25" customHeight="1">
      <c r="A21" s="39">
        <v>12</v>
      </c>
      <c r="B21" s="15">
        <v>8104</v>
      </c>
      <c r="C21" s="22" t="s">
        <v>614</v>
      </c>
      <c r="D21" s="23" t="s">
        <v>615</v>
      </c>
      <c r="E21" s="22" t="s">
        <v>33</v>
      </c>
      <c r="F21" s="23" t="s">
        <v>34</v>
      </c>
      <c r="G21" s="24" t="s">
        <v>616</v>
      </c>
      <c r="H21" s="23" t="s">
        <v>617</v>
      </c>
      <c r="I21" s="59" t="s">
        <v>618</v>
      </c>
      <c r="J21" s="50" t="s">
        <v>619</v>
      </c>
      <c r="K21" s="23">
        <v>2019</v>
      </c>
      <c r="L21" s="68"/>
      <c r="M21" s="55">
        <v>37</v>
      </c>
      <c r="N21" s="51"/>
      <c r="O21" s="52" t="s">
        <v>620</v>
      </c>
    </row>
    <row r="22" spans="1:15" ht="29.25" customHeight="1">
      <c r="A22" s="39">
        <v>38</v>
      </c>
      <c r="B22" s="15">
        <v>8105</v>
      </c>
      <c r="C22" s="23" t="s">
        <v>621</v>
      </c>
      <c r="D22" s="23" t="s">
        <v>622</v>
      </c>
      <c r="E22" s="23" t="s">
        <v>33</v>
      </c>
      <c r="F22" s="23" t="s">
        <v>34</v>
      </c>
      <c r="G22" s="24" t="s">
        <v>623</v>
      </c>
      <c r="H22" s="23" t="s">
        <v>624</v>
      </c>
      <c r="I22" s="59" t="s">
        <v>90</v>
      </c>
      <c r="J22" s="50" t="s">
        <v>28</v>
      </c>
      <c r="K22" s="23">
        <v>2019</v>
      </c>
      <c r="L22" s="23"/>
      <c r="M22" s="55">
        <v>45</v>
      </c>
      <c r="N22" s="51"/>
      <c r="O22" s="55" t="s">
        <v>625</v>
      </c>
    </row>
    <row r="23" spans="1:15" ht="29.25" customHeight="1">
      <c r="A23" s="39">
        <v>22</v>
      </c>
      <c r="B23" s="15">
        <v>8106</v>
      </c>
      <c r="C23" s="23" t="s">
        <v>626</v>
      </c>
      <c r="D23" s="23" t="s">
        <v>627</v>
      </c>
      <c r="E23" s="23" t="s">
        <v>33</v>
      </c>
      <c r="F23" s="23" t="s">
        <v>34</v>
      </c>
      <c r="G23" s="24" t="s">
        <v>628</v>
      </c>
      <c r="H23" s="23" t="s">
        <v>629</v>
      </c>
      <c r="I23" s="49" t="s">
        <v>630</v>
      </c>
      <c r="J23" s="50" t="s">
        <v>148</v>
      </c>
      <c r="K23" s="23">
        <v>2019</v>
      </c>
      <c r="L23" s="68"/>
      <c r="M23" s="55">
        <v>31</v>
      </c>
      <c r="O23" s="55" t="s">
        <v>631</v>
      </c>
    </row>
    <row r="24" spans="1:15" ht="29.25" customHeight="1">
      <c r="A24" s="39">
        <v>27</v>
      </c>
      <c r="B24" s="15">
        <v>8107</v>
      </c>
      <c r="C24" s="23" t="s">
        <v>632</v>
      </c>
      <c r="D24" s="23" t="s">
        <v>633</v>
      </c>
      <c r="E24" s="23" t="s">
        <v>33</v>
      </c>
      <c r="F24" s="23" t="s">
        <v>34</v>
      </c>
      <c r="G24" s="24" t="s">
        <v>634</v>
      </c>
      <c r="H24" s="23" t="s">
        <v>635</v>
      </c>
      <c r="I24" s="49" t="s">
        <v>84</v>
      </c>
      <c r="J24" s="50" t="s">
        <v>28</v>
      </c>
      <c r="K24" s="23">
        <v>2019</v>
      </c>
      <c r="L24" s="68"/>
      <c r="M24" s="55">
        <v>28</v>
      </c>
      <c r="O24" s="55" t="s">
        <v>636</v>
      </c>
    </row>
    <row r="25" spans="1:15" ht="29.25" customHeight="1">
      <c r="A25" s="39">
        <v>13</v>
      </c>
      <c r="B25" s="15">
        <v>8108</v>
      </c>
      <c r="C25" s="22" t="s">
        <v>637</v>
      </c>
      <c r="D25" s="23" t="s">
        <v>638</v>
      </c>
      <c r="E25" s="22" t="s">
        <v>23</v>
      </c>
      <c r="F25" s="23" t="s">
        <v>24</v>
      </c>
      <c r="G25" s="24" t="s">
        <v>639</v>
      </c>
      <c r="H25" s="23" t="s">
        <v>640</v>
      </c>
      <c r="I25" s="49" t="s">
        <v>90</v>
      </c>
      <c r="J25" s="50" t="s">
        <v>28</v>
      </c>
      <c r="K25" s="23">
        <v>2019</v>
      </c>
      <c r="L25" s="68"/>
      <c r="M25" s="55">
        <v>39</v>
      </c>
      <c r="N25" s="51"/>
      <c r="O25" s="52" t="s">
        <v>641</v>
      </c>
    </row>
    <row r="26" spans="1:15" ht="29.25" customHeight="1">
      <c r="A26" s="39">
        <v>11</v>
      </c>
      <c r="B26" s="15">
        <v>8109</v>
      </c>
      <c r="C26" s="22" t="s">
        <v>642</v>
      </c>
      <c r="D26" s="23" t="s">
        <v>643</v>
      </c>
      <c r="E26" s="22" t="s">
        <v>23</v>
      </c>
      <c r="F26" s="23" t="s">
        <v>24</v>
      </c>
      <c r="G26" s="24" t="s">
        <v>644</v>
      </c>
      <c r="H26" s="23" t="s">
        <v>645</v>
      </c>
      <c r="I26" s="59" t="s">
        <v>90</v>
      </c>
      <c r="J26" s="50" t="s">
        <v>28</v>
      </c>
      <c r="K26" s="23">
        <v>2019</v>
      </c>
      <c r="L26" s="68"/>
      <c r="M26" s="55">
        <v>44</v>
      </c>
      <c r="N26" s="51"/>
      <c r="O26" s="52" t="s">
        <v>646</v>
      </c>
    </row>
    <row r="27" spans="1:15" ht="29.25" customHeight="1">
      <c r="A27" s="39">
        <v>6</v>
      </c>
      <c r="B27" s="15">
        <v>8110</v>
      </c>
      <c r="C27" s="22" t="s">
        <v>647</v>
      </c>
      <c r="D27" s="23" t="s">
        <v>648</v>
      </c>
      <c r="E27" s="22" t="s">
        <v>33</v>
      </c>
      <c r="F27" s="23" t="s">
        <v>34</v>
      </c>
      <c r="G27" s="24" t="s">
        <v>649</v>
      </c>
      <c r="H27" s="23" t="s">
        <v>650</v>
      </c>
      <c r="I27" s="49" t="s">
        <v>651</v>
      </c>
      <c r="J27" s="50" t="s">
        <v>261</v>
      </c>
      <c r="K27" s="23">
        <v>2019</v>
      </c>
      <c r="L27" s="68"/>
      <c r="M27" s="55">
        <v>51</v>
      </c>
      <c r="N27" s="51"/>
      <c r="O27" s="52" t="s">
        <v>652</v>
      </c>
    </row>
    <row r="28" spans="1:15" ht="29.25" customHeight="1">
      <c r="A28" s="39">
        <v>1</v>
      </c>
      <c r="B28" s="15">
        <v>8111</v>
      </c>
      <c r="C28" s="22" t="s">
        <v>653</v>
      </c>
      <c r="D28" s="23" t="s">
        <v>654</v>
      </c>
      <c r="E28" s="22" t="s">
        <v>33</v>
      </c>
      <c r="F28" s="23" t="s">
        <v>34</v>
      </c>
      <c r="G28" s="24" t="s">
        <v>655</v>
      </c>
      <c r="H28" s="23" t="s">
        <v>656</v>
      </c>
      <c r="I28" s="49" t="s">
        <v>90</v>
      </c>
      <c r="J28" s="50" t="s">
        <v>28</v>
      </c>
      <c r="K28" s="23">
        <v>2019</v>
      </c>
      <c r="L28" s="71"/>
      <c r="M28" s="55">
        <v>30</v>
      </c>
      <c r="N28" s="51"/>
      <c r="O28" s="52" t="s">
        <v>657</v>
      </c>
    </row>
    <row r="29" spans="1:15" ht="29.25" customHeight="1">
      <c r="A29" s="39">
        <v>34</v>
      </c>
      <c r="B29" s="15">
        <v>8112</v>
      </c>
      <c r="C29" s="23" t="s">
        <v>658</v>
      </c>
      <c r="D29" s="23" t="s">
        <v>659</v>
      </c>
      <c r="E29" s="23" t="s">
        <v>33</v>
      </c>
      <c r="F29" s="23" t="s">
        <v>34</v>
      </c>
      <c r="G29" s="24" t="s">
        <v>660</v>
      </c>
      <c r="H29" s="23" t="s">
        <v>661</v>
      </c>
      <c r="I29" s="59" t="s">
        <v>90</v>
      </c>
      <c r="J29" s="50" t="s">
        <v>28</v>
      </c>
      <c r="K29" s="23">
        <v>2019</v>
      </c>
      <c r="L29" s="68"/>
      <c r="M29" s="55">
        <v>43</v>
      </c>
      <c r="N29" s="51"/>
      <c r="O29" s="55" t="s">
        <v>662</v>
      </c>
    </row>
    <row r="30" spans="1:15" ht="29.25" customHeight="1">
      <c r="A30" s="39">
        <v>21</v>
      </c>
      <c r="B30" s="15">
        <v>8113</v>
      </c>
      <c r="C30" s="23" t="s">
        <v>663</v>
      </c>
      <c r="D30" s="23" t="s">
        <v>664</v>
      </c>
      <c r="E30" s="23" t="s">
        <v>33</v>
      </c>
      <c r="F30" s="23" t="s">
        <v>34</v>
      </c>
      <c r="G30" s="24" t="s">
        <v>665</v>
      </c>
      <c r="H30" s="23" t="s">
        <v>666</v>
      </c>
      <c r="I30" s="49" t="s">
        <v>84</v>
      </c>
      <c r="J30" s="50" t="s">
        <v>28</v>
      </c>
      <c r="K30" s="23">
        <v>2019</v>
      </c>
      <c r="L30" s="68"/>
      <c r="M30" s="55">
        <v>18</v>
      </c>
      <c r="N30" s="51"/>
      <c r="O30" s="55" t="s">
        <v>667</v>
      </c>
    </row>
    <row r="31" spans="1:15" ht="29.25" customHeight="1">
      <c r="A31" s="39">
        <v>30</v>
      </c>
      <c r="B31" s="15">
        <v>8114</v>
      </c>
      <c r="C31" s="23" t="s">
        <v>668</v>
      </c>
      <c r="D31" s="23" t="s">
        <v>669</v>
      </c>
      <c r="E31" s="23" t="s">
        <v>33</v>
      </c>
      <c r="F31" s="23" t="s">
        <v>34</v>
      </c>
      <c r="G31" s="24" t="s">
        <v>670</v>
      </c>
      <c r="H31" s="23" t="s">
        <v>671</v>
      </c>
      <c r="I31" s="49" t="s">
        <v>43</v>
      </c>
      <c r="J31" s="50" t="s">
        <v>28</v>
      </c>
      <c r="K31" s="23">
        <v>2019</v>
      </c>
      <c r="L31" s="68"/>
      <c r="M31" s="55">
        <v>41</v>
      </c>
      <c r="N31" s="51"/>
      <c r="O31" s="55" t="s">
        <v>672</v>
      </c>
    </row>
    <row r="32" spans="1:15" ht="29.25" customHeight="1">
      <c r="A32" s="39">
        <v>17</v>
      </c>
      <c r="B32" s="15">
        <v>8115</v>
      </c>
      <c r="C32" s="23" t="s">
        <v>673</v>
      </c>
      <c r="D32" s="23" t="s">
        <v>674</v>
      </c>
      <c r="E32" s="23" t="s">
        <v>33</v>
      </c>
      <c r="F32" s="23" t="s">
        <v>34</v>
      </c>
      <c r="G32" s="24" t="s">
        <v>675</v>
      </c>
      <c r="H32" s="23" t="s">
        <v>676</v>
      </c>
      <c r="I32" s="59" t="s">
        <v>90</v>
      </c>
      <c r="J32" s="50" t="s">
        <v>28</v>
      </c>
      <c r="K32" s="23">
        <v>2019</v>
      </c>
      <c r="L32" s="68"/>
      <c r="M32" s="55">
        <v>20</v>
      </c>
      <c r="N32" s="51" t="s">
        <v>29</v>
      </c>
      <c r="O32" s="55" t="s">
        <v>677</v>
      </c>
    </row>
    <row r="33" spans="1:16" ht="29.25" customHeight="1">
      <c r="A33" s="39">
        <v>2</v>
      </c>
      <c r="B33" s="15">
        <v>8116</v>
      </c>
      <c r="C33" s="22" t="s">
        <v>678</v>
      </c>
      <c r="D33" s="23" t="s">
        <v>679</v>
      </c>
      <c r="E33" s="22" t="s">
        <v>23</v>
      </c>
      <c r="F33" s="23" t="s">
        <v>24</v>
      </c>
      <c r="G33" s="24" t="s">
        <v>680</v>
      </c>
      <c r="H33" s="23" t="s">
        <v>681</v>
      </c>
      <c r="I33" s="49" t="s">
        <v>206</v>
      </c>
      <c r="J33" s="50" t="s">
        <v>62</v>
      </c>
      <c r="K33" s="23">
        <v>2019</v>
      </c>
      <c r="L33" s="68"/>
      <c r="M33" s="55">
        <v>2</v>
      </c>
      <c r="N33" s="51"/>
      <c r="O33" s="52" t="s">
        <v>682</v>
      </c>
    </row>
    <row r="34" spans="1:16" ht="29.25" customHeight="1">
      <c r="A34" s="39">
        <v>14</v>
      </c>
      <c r="B34" s="15">
        <v>8117</v>
      </c>
      <c r="C34" s="22" t="s">
        <v>683</v>
      </c>
      <c r="D34" s="23" t="s">
        <v>684</v>
      </c>
      <c r="E34" s="22" t="s">
        <v>23</v>
      </c>
      <c r="F34" s="23" t="s">
        <v>24</v>
      </c>
      <c r="G34" s="24" t="s">
        <v>680</v>
      </c>
      <c r="H34" s="23" t="s">
        <v>681</v>
      </c>
      <c r="I34" s="49" t="s">
        <v>206</v>
      </c>
      <c r="J34" s="50" t="s">
        <v>62</v>
      </c>
      <c r="K34" s="23">
        <v>2019</v>
      </c>
      <c r="L34" s="68"/>
      <c r="M34" s="55">
        <v>3</v>
      </c>
      <c r="N34" t="s">
        <v>539</v>
      </c>
      <c r="O34" s="52" t="s">
        <v>685</v>
      </c>
    </row>
    <row r="35" spans="1:16" ht="29.25" customHeight="1">
      <c r="A35" s="39">
        <v>4</v>
      </c>
      <c r="B35" s="15">
        <v>8118</v>
      </c>
      <c r="C35" s="22" t="s">
        <v>686</v>
      </c>
      <c r="D35" s="23" t="s">
        <v>687</v>
      </c>
      <c r="E35" s="22" t="s">
        <v>33</v>
      </c>
      <c r="F35" s="23" t="s">
        <v>34</v>
      </c>
      <c r="G35" s="24" t="s">
        <v>263</v>
      </c>
      <c r="H35" s="23" t="s">
        <v>688</v>
      </c>
      <c r="I35" s="70" t="s">
        <v>37</v>
      </c>
      <c r="J35" s="50" t="s">
        <v>28</v>
      </c>
      <c r="K35" s="23">
        <v>2019</v>
      </c>
      <c r="L35" s="68"/>
      <c r="M35" s="55">
        <v>18</v>
      </c>
      <c r="N35" s="51"/>
      <c r="O35" s="52" t="s">
        <v>689</v>
      </c>
    </row>
    <row r="36" spans="1:16" ht="29.25" customHeight="1">
      <c r="A36" s="39">
        <v>9</v>
      </c>
      <c r="B36" s="15">
        <v>8119</v>
      </c>
      <c r="C36" s="22" t="s">
        <v>690</v>
      </c>
      <c r="D36" s="23" t="s">
        <v>691</v>
      </c>
      <c r="E36" s="22" t="s">
        <v>23</v>
      </c>
      <c r="F36" s="23" t="s">
        <v>24</v>
      </c>
      <c r="G36" s="24" t="s">
        <v>692</v>
      </c>
      <c r="H36" s="23" t="s">
        <v>693</v>
      </c>
      <c r="I36" s="49" t="s">
        <v>127</v>
      </c>
      <c r="J36" s="50" t="s">
        <v>28</v>
      </c>
      <c r="K36" s="23">
        <v>2019</v>
      </c>
      <c r="L36" s="68"/>
      <c r="M36" s="55">
        <v>8</v>
      </c>
      <c r="N36" s="51"/>
      <c r="O36" s="52" t="s">
        <v>694</v>
      </c>
    </row>
    <row r="37" spans="1:16" ht="29.25" customHeight="1">
      <c r="A37" s="39">
        <v>7</v>
      </c>
      <c r="B37" s="15">
        <v>8120</v>
      </c>
      <c r="C37" s="22" t="s">
        <v>695</v>
      </c>
      <c r="D37" s="63" t="s">
        <v>696</v>
      </c>
      <c r="E37" s="24" t="s">
        <v>33</v>
      </c>
      <c r="F37" s="22" t="s">
        <v>34</v>
      </c>
      <c r="G37" s="66" t="s">
        <v>697</v>
      </c>
      <c r="H37" s="23" t="s">
        <v>698</v>
      </c>
      <c r="I37" s="59" t="s">
        <v>37</v>
      </c>
      <c r="J37" s="50" t="s">
        <v>28</v>
      </c>
      <c r="K37" s="23">
        <v>2019</v>
      </c>
      <c r="L37" s="69"/>
      <c r="M37" s="55">
        <v>19</v>
      </c>
      <c r="N37" s="51"/>
      <c r="O37" s="52" t="s">
        <v>699</v>
      </c>
    </row>
    <row r="38" spans="1:16" ht="29.25" customHeight="1">
      <c r="A38" s="39">
        <v>26</v>
      </c>
      <c r="B38" s="15">
        <v>8121</v>
      </c>
      <c r="C38" s="23" t="s">
        <v>700</v>
      </c>
      <c r="D38" s="23" t="s">
        <v>701</v>
      </c>
      <c r="E38" s="23" t="s">
        <v>33</v>
      </c>
      <c r="F38" s="23" t="s">
        <v>34</v>
      </c>
      <c r="G38" s="24" t="s">
        <v>702</v>
      </c>
      <c r="H38" s="23" t="s">
        <v>703</v>
      </c>
      <c r="I38" s="49" t="s">
        <v>258</v>
      </c>
      <c r="J38" s="50" t="s">
        <v>28</v>
      </c>
      <c r="K38" s="23">
        <v>2019</v>
      </c>
      <c r="L38" s="68"/>
      <c r="M38" s="55">
        <v>56</v>
      </c>
      <c r="N38" s="51"/>
      <c r="O38" s="55" t="s">
        <v>704</v>
      </c>
    </row>
    <row r="39" spans="1:16" ht="29.25" customHeight="1">
      <c r="A39" s="39">
        <v>25</v>
      </c>
      <c r="B39" s="15">
        <v>8122</v>
      </c>
      <c r="C39" s="23" t="s">
        <v>705</v>
      </c>
      <c r="D39" s="23" t="s">
        <v>706</v>
      </c>
      <c r="E39" s="23" t="s">
        <v>33</v>
      </c>
      <c r="F39" s="23" t="s">
        <v>34</v>
      </c>
      <c r="G39" s="24" t="s">
        <v>707</v>
      </c>
      <c r="H39" s="23" t="s">
        <v>708</v>
      </c>
      <c r="I39" s="49" t="s">
        <v>709</v>
      </c>
      <c r="J39" s="50" t="s">
        <v>62</v>
      </c>
      <c r="K39" s="23">
        <v>2019</v>
      </c>
      <c r="L39" s="68"/>
      <c r="M39" s="55">
        <v>13</v>
      </c>
      <c r="N39" s="51"/>
      <c r="O39" s="55" t="s">
        <v>710</v>
      </c>
    </row>
    <row r="40" spans="1:16" ht="29.25" customHeight="1">
      <c r="A40" s="39">
        <v>33</v>
      </c>
      <c r="B40" s="15">
        <v>8123</v>
      </c>
      <c r="C40" s="23" t="s">
        <v>711</v>
      </c>
      <c r="D40" s="23" t="s">
        <v>712</v>
      </c>
      <c r="E40" s="23" t="s">
        <v>23</v>
      </c>
      <c r="F40" s="23" t="s">
        <v>24</v>
      </c>
      <c r="G40" s="24" t="s">
        <v>713</v>
      </c>
      <c r="H40" s="23" t="s">
        <v>714</v>
      </c>
      <c r="I40" s="59" t="s">
        <v>90</v>
      </c>
      <c r="J40" s="50" t="s">
        <v>28</v>
      </c>
      <c r="K40" s="23">
        <v>2019</v>
      </c>
      <c r="L40" s="68"/>
      <c r="M40" s="55">
        <v>21</v>
      </c>
      <c r="N40" s="51"/>
      <c r="O40" s="55" t="s">
        <v>715</v>
      </c>
    </row>
    <row r="41" spans="1:16" ht="29.25" customHeight="1">
      <c r="A41" s="39">
        <v>16</v>
      </c>
      <c r="B41" s="15">
        <v>8124</v>
      </c>
      <c r="C41" s="22" t="s">
        <v>716</v>
      </c>
      <c r="D41" s="23" t="s">
        <v>717</v>
      </c>
      <c r="E41" s="22" t="s">
        <v>23</v>
      </c>
      <c r="F41" s="23" t="s">
        <v>24</v>
      </c>
      <c r="G41" s="24" t="s">
        <v>718</v>
      </c>
      <c r="H41" s="23" t="s">
        <v>719</v>
      </c>
      <c r="I41" s="49" t="s">
        <v>43</v>
      </c>
      <c r="J41" s="50" t="s">
        <v>28</v>
      </c>
      <c r="K41" s="23">
        <v>2019</v>
      </c>
      <c r="L41" s="68"/>
      <c r="M41" s="55">
        <v>7</v>
      </c>
      <c r="N41" t="s">
        <v>539</v>
      </c>
      <c r="O41" s="52" t="s">
        <v>720</v>
      </c>
    </row>
    <row r="42" spans="1:16" ht="29.25" customHeight="1">
      <c r="A42" s="39">
        <v>29</v>
      </c>
      <c r="B42" s="15">
        <v>8125</v>
      </c>
      <c r="C42" s="23" t="s">
        <v>721</v>
      </c>
      <c r="D42" s="23" t="s">
        <v>722</v>
      </c>
      <c r="E42" s="23" t="s">
        <v>33</v>
      </c>
      <c r="F42" s="23" t="s">
        <v>34</v>
      </c>
      <c r="G42" s="24" t="s">
        <v>723</v>
      </c>
      <c r="H42" s="23" t="s">
        <v>724</v>
      </c>
      <c r="I42" s="49" t="s">
        <v>43</v>
      </c>
      <c r="J42" s="50" t="s">
        <v>28</v>
      </c>
      <c r="K42" s="23">
        <v>2019</v>
      </c>
      <c r="L42" s="68"/>
      <c r="M42" s="55">
        <v>38</v>
      </c>
      <c r="N42" s="51"/>
      <c r="O42" s="55" t="s">
        <v>725</v>
      </c>
    </row>
    <row r="43" spans="1:16" ht="29.25" customHeight="1">
      <c r="A43" s="39">
        <v>31</v>
      </c>
      <c r="B43" s="15">
        <v>8126</v>
      </c>
      <c r="C43" s="23" t="s">
        <v>726</v>
      </c>
      <c r="D43" s="23" t="s">
        <v>727</v>
      </c>
      <c r="E43" s="23" t="s">
        <v>33</v>
      </c>
      <c r="F43" s="23" t="s">
        <v>34</v>
      </c>
      <c r="G43" s="24" t="s">
        <v>109</v>
      </c>
      <c r="H43" s="23" t="s">
        <v>110</v>
      </c>
      <c r="I43" s="49" t="s">
        <v>43</v>
      </c>
      <c r="J43" s="50" t="s">
        <v>28</v>
      </c>
      <c r="K43" s="23">
        <v>2019</v>
      </c>
      <c r="L43" s="68"/>
      <c r="M43" s="55">
        <v>53</v>
      </c>
      <c r="N43" s="51"/>
      <c r="O43" s="55" t="s">
        <v>728</v>
      </c>
    </row>
    <row r="44" spans="1:16" ht="29.25" customHeight="1">
      <c r="A44" s="39">
        <v>15</v>
      </c>
      <c r="B44" s="15">
        <v>8127</v>
      </c>
      <c r="C44" s="22" t="s">
        <v>729</v>
      </c>
      <c r="D44" s="23" t="s">
        <v>730</v>
      </c>
      <c r="E44" s="24" t="s">
        <v>33</v>
      </c>
      <c r="F44" s="23" t="s">
        <v>34</v>
      </c>
      <c r="G44" s="24" t="s">
        <v>191</v>
      </c>
      <c r="H44" s="23" t="s">
        <v>192</v>
      </c>
      <c r="I44" s="59" t="s">
        <v>37</v>
      </c>
      <c r="J44" s="50" t="s">
        <v>28</v>
      </c>
      <c r="K44" s="23">
        <v>2019</v>
      </c>
      <c r="L44" s="72"/>
      <c r="M44" s="55">
        <v>23</v>
      </c>
      <c r="N44" t="s">
        <v>539</v>
      </c>
      <c r="O44" s="52" t="s">
        <v>731</v>
      </c>
    </row>
    <row r="45" spans="1:16" ht="29.25" customHeight="1">
      <c r="A45" s="39"/>
      <c r="B45" s="15">
        <v>8299</v>
      </c>
      <c r="C45" s="20" t="s">
        <v>732</v>
      </c>
      <c r="D45" s="20" t="s">
        <v>733</v>
      </c>
      <c r="E45" s="22" t="s">
        <v>23</v>
      </c>
      <c r="F45" s="23" t="s">
        <v>34</v>
      </c>
      <c r="G45" s="24" t="s">
        <v>734</v>
      </c>
      <c r="H45" s="67" t="s">
        <v>735</v>
      </c>
      <c r="I45" s="59" t="s">
        <v>90</v>
      </c>
      <c r="J45" s="50" t="s">
        <v>28</v>
      </c>
      <c r="K45" s="23">
        <v>2019</v>
      </c>
      <c r="L45" s="68"/>
      <c r="M45" s="55">
        <v>15</v>
      </c>
      <c r="N45" s="82" t="s">
        <v>539</v>
      </c>
      <c r="O45" s="52"/>
    </row>
    <row r="46" spans="1:16" ht="29.25" customHeight="1">
      <c r="A46" s="39"/>
      <c r="B46" s="15">
        <v>8300</v>
      </c>
      <c r="C46" s="20" t="s">
        <v>736</v>
      </c>
      <c r="D46" s="20" t="s">
        <v>737</v>
      </c>
      <c r="E46" s="22" t="s">
        <v>33</v>
      </c>
      <c r="F46" s="23" t="s">
        <v>34</v>
      </c>
      <c r="G46" s="24" t="s">
        <v>738</v>
      </c>
      <c r="H46" s="67" t="s">
        <v>739</v>
      </c>
      <c r="I46" s="59" t="s">
        <v>740</v>
      </c>
      <c r="J46" s="50" t="s">
        <v>62</v>
      </c>
      <c r="K46" s="23">
        <v>2019</v>
      </c>
      <c r="L46" s="68"/>
      <c r="M46" s="55">
        <v>4</v>
      </c>
      <c r="N46" s="82" t="s">
        <v>539</v>
      </c>
      <c r="O46" s="52" t="s">
        <v>741</v>
      </c>
      <c r="P46" s="82"/>
    </row>
    <row r="47" spans="1:16" s="2" customFormat="1" ht="29.25" customHeight="1">
      <c r="A47" s="79"/>
      <c r="B47" s="15">
        <v>8302</v>
      </c>
      <c r="C47" s="31" t="s">
        <v>742</v>
      </c>
      <c r="D47" s="32" t="s">
        <v>743</v>
      </c>
      <c r="E47" s="33" t="s">
        <v>23</v>
      </c>
      <c r="F47" s="34" t="s">
        <v>24</v>
      </c>
      <c r="G47" s="35" t="s">
        <v>744</v>
      </c>
      <c r="H47" s="80" t="s">
        <v>745</v>
      </c>
      <c r="I47" s="83" t="s">
        <v>27</v>
      </c>
      <c r="J47" s="58" t="s">
        <v>28</v>
      </c>
      <c r="K47" s="34">
        <v>2019</v>
      </c>
      <c r="L47" s="34"/>
      <c r="M47" s="84">
        <v>11</v>
      </c>
      <c r="N47" s="85" t="s">
        <v>539</v>
      </c>
      <c r="O47" s="2" t="s">
        <v>746</v>
      </c>
    </row>
    <row r="48" spans="1:16" ht="29.25" customHeight="1">
      <c r="A48" s="39">
        <v>40</v>
      </c>
      <c r="B48" s="37"/>
      <c r="C48" s="20"/>
      <c r="D48" s="20"/>
      <c r="E48" s="22"/>
      <c r="F48" s="23"/>
      <c r="G48" s="24"/>
      <c r="H48" s="67"/>
      <c r="I48" s="49"/>
      <c r="J48" s="50"/>
      <c r="K48" s="23"/>
      <c r="L48" s="68"/>
      <c r="M48" s="55"/>
      <c r="N48" s="51"/>
      <c r="O48" s="52"/>
    </row>
    <row r="49" spans="1:15" ht="29.25" customHeight="1">
      <c r="A49" s="39">
        <v>41</v>
      </c>
      <c r="B49" s="37"/>
      <c r="C49" s="20"/>
      <c r="D49" s="28"/>
      <c r="E49" s="24"/>
      <c r="F49" s="22"/>
      <c r="G49" s="24"/>
      <c r="H49" s="67"/>
      <c r="I49" s="49"/>
      <c r="J49" s="50"/>
      <c r="K49" s="23"/>
      <c r="L49" s="68"/>
      <c r="M49" s="55"/>
      <c r="N49" s="51"/>
      <c r="O49" s="52"/>
    </row>
    <row r="50" spans="1:15" ht="29.25" customHeight="1">
      <c r="A50" s="39">
        <v>42</v>
      </c>
      <c r="B50" s="37"/>
      <c r="C50" s="20"/>
      <c r="D50" s="21"/>
      <c r="E50" s="22"/>
      <c r="F50" s="23"/>
      <c r="G50" s="24"/>
      <c r="H50" s="67"/>
      <c r="I50" s="59"/>
      <c r="J50" s="50"/>
      <c r="K50" s="23"/>
      <c r="L50" s="23"/>
      <c r="M50" s="55"/>
      <c r="N50" s="51"/>
      <c r="O50" s="52"/>
    </row>
    <row r="51" spans="1:15" ht="24" customHeight="1">
      <c r="A51" s="40" t="s">
        <v>173</v>
      </c>
      <c r="B51" s="3"/>
      <c r="C51" s="3"/>
      <c r="D51" s="3"/>
      <c r="E51" s="3"/>
      <c r="F51" s="3"/>
      <c r="G51" s="3"/>
      <c r="I51" s="60" t="s">
        <v>174</v>
      </c>
      <c r="J51" s="60"/>
      <c r="K51" s="60"/>
      <c r="L51" s="60"/>
      <c r="M51" s="3"/>
      <c r="N51">
        <f>COUNTIF(E5:E50,"ស្រី")</f>
        <v>23</v>
      </c>
    </row>
    <row r="52" spans="1:15" ht="24" customHeight="1">
      <c r="A52" s="3"/>
      <c r="B52" s="3"/>
      <c r="C52" s="3"/>
      <c r="D52" s="3"/>
      <c r="E52" s="3"/>
      <c r="F52" s="40"/>
      <c r="G52" s="40"/>
      <c r="H52" s="40"/>
      <c r="I52" s="140" t="s">
        <v>175</v>
      </c>
      <c r="J52" s="140"/>
      <c r="K52" s="140"/>
      <c r="L52" s="140"/>
      <c r="M52" s="61"/>
    </row>
    <row r="53" spans="1:15" ht="24" customHeight="1">
      <c r="A53" s="41"/>
      <c r="B53" s="41"/>
      <c r="C53" s="141" t="s">
        <v>176</v>
      </c>
      <c r="D53" s="141"/>
      <c r="E53" s="141"/>
      <c r="F53" s="141"/>
      <c r="G53" s="43"/>
      <c r="H53" s="43"/>
      <c r="I53" s="141" t="s">
        <v>177</v>
      </c>
      <c r="J53" s="141"/>
      <c r="K53" s="141"/>
      <c r="L53" s="141"/>
      <c r="M53" s="42"/>
      <c r="N53" s="62"/>
    </row>
    <row r="54" spans="1:15" ht="24" customHeight="1">
      <c r="A54" s="41"/>
      <c r="B54" s="41"/>
      <c r="C54" s="139" t="s">
        <v>178</v>
      </c>
      <c r="D54" s="139"/>
      <c r="E54" s="139"/>
      <c r="F54" s="139"/>
      <c r="G54" s="3"/>
      <c r="H54" s="3"/>
      <c r="I54" s="3"/>
      <c r="J54" s="3"/>
      <c r="K54" s="3"/>
      <c r="L54" s="3"/>
      <c r="M54" s="3"/>
    </row>
    <row r="55" spans="1:15" ht="24" customHeight="1">
      <c r="A55" s="41"/>
      <c r="B55" s="41"/>
      <c r="C55" s="141" t="s">
        <v>179</v>
      </c>
      <c r="D55" s="141"/>
      <c r="E55" s="141"/>
      <c r="F55" s="141"/>
      <c r="G55" s="3"/>
      <c r="H55" s="3"/>
      <c r="I55" s="3"/>
      <c r="J55" s="3"/>
      <c r="K55" s="3"/>
      <c r="L55" s="3"/>
      <c r="M55" s="3"/>
    </row>
    <row r="57" spans="1:15" ht="24" customHeight="1">
      <c r="C57" t="s">
        <v>254</v>
      </c>
      <c r="D57">
        <f>COUNTA(C7:C44)</f>
        <v>38</v>
      </c>
      <c r="G57" s="4">
        <v>40</v>
      </c>
    </row>
    <row r="58" spans="1:15" ht="24" customHeight="1">
      <c r="C58" t="s">
        <v>255</v>
      </c>
      <c r="D58">
        <f>COUNTIF(E7:E44,E44)</f>
        <v>22</v>
      </c>
      <c r="G58" s="4">
        <v>22</v>
      </c>
    </row>
    <row r="70" spans="1:18" s="3" customFormat="1">
      <c r="A70"/>
      <c r="B70"/>
      <c r="C70"/>
      <c r="D70"/>
      <c r="E70" s="4"/>
      <c r="F70"/>
      <c r="G70" s="4"/>
      <c r="H70"/>
      <c r="I70"/>
      <c r="J70"/>
      <c r="K70"/>
      <c r="L70"/>
      <c r="M70"/>
    </row>
    <row r="71" spans="1:18" s="3" customFormat="1">
      <c r="A71"/>
      <c r="B71"/>
      <c r="C71"/>
      <c r="D71"/>
      <c r="E71" s="4"/>
      <c r="F71"/>
      <c r="G71" s="4"/>
      <c r="H71"/>
      <c r="I71"/>
      <c r="J71"/>
      <c r="K71"/>
      <c r="L71"/>
      <c r="M71"/>
      <c r="O71" s="40">
        <f>COUNTIF(E7:E41,"ស្រី")</f>
        <v>19</v>
      </c>
      <c r="P71" s="40"/>
      <c r="Q71" s="40"/>
      <c r="R71" s="40"/>
    </row>
    <row r="72" spans="1:18" s="3" customFormat="1">
      <c r="A72"/>
      <c r="B72"/>
      <c r="C72"/>
      <c r="D72"/>
      <c r="E72" s="4"/>
      <c r="F72"/>
      <c r="G72" s="4"/>
      <c r="H72"/>
      <c r="I72"/>
      <c r="J72"/>
      <c r="K72"/>
      <c r="L72"/>
      <c r="M72"/>
      <c r="O72" s="40"/>
      <c r="P72" s="139"/>
      <c r="Q72" s="139"/>
      <c r="R72" s="139"/>
    </row>
    <row r="73" spans="1:18" s="3" customFormat="1">
      <c r="A73"/>
      <c r="B73"/>
      <c r="C73"/>
      <c r="D73"/>
      <c r="E73" s="4"/>
      <c r="F73"/>
      <c r="G73" s="4"/>
      <c r="H73"/>
      <c r="I73"/>
      <c r="J73"/>
      <c r="K73"/>
      <c r="L73"/>
      <c r="M73"/>
      <c r="P73" s="139"/>
      <c r="Q73" s="139"/>
      <c r="R73" s="139"/>
    </row>
    <row r="74" spans="1:18" s="3" customFormat="1">
      <c r="A74"/>
      <c r="B74"/>
      <c r="C74"/>
      <c r="D74"/>
      <c r="E74" s="4"/>
      <c r="F74"/>
      <c r="G74" s="4"/>
      <c r="H74"/>
      <c r="I74"/>
      <c r="J74"/>
      <c r="K74"/>
      <c r="L74"/>
      <c r="M74"/>
      <c r="P74" s="139"/>
      <c r="Q74" s="139"/>
      <c r="R74" s="139"/>
    </row>
  </sheetData>
  <mergeCells count="13">
    <mergeCell ref="I1:N1"/>
    <mergeCell ref="I2:N2"/>
    <mergeCell ref="I3:N3"/>
    <mergeCell ref="A4:L4"/>
    <mergeCell ref="A5:L5"/>
    <mergeCell ref="P72:R72"/>
    <mergeCell ref="P73:R73"/>
    <mergeCell ref="P74:R74"/>
    <mergeCell ref="I52:L52"/>
    <mergeCell ref="C53:F53"/>
    <mergeCell ref="I53:L53"/>
    <mergeCell ref="C54:F54"/>
    <mergeCell ref="C55:F55"/>
  </mergeCells>
  <pageMargins left="0.67" right="0.35" top="0.31" bottom="0.26" header="0.21" footer="0.17"/>
  <pageSetup paperSize="9" orientation="landscape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11"/>
  </sheetPr>
  <dimension ref="A1:R52"/>
  <sheetViews>
    <sheetView topLeftCell="A16" workbookViewId="0">
      <selection activeCell="B7" sqref="B7:B21"/>
    </sheetView>
  </sheetViews>
  <sheetFormatPr baseColWidth="10" defaultColWidth="8.6640625" defaultRowHeight="13"/>
  <cols>
    <col min="1" max="1" width="6" customWidth="1"/>
    <col min="2" max="2" width="7.6640625" customWidth="1"/>
    <col min="3" max="3" width="20.33203125" customWidth="1"/>
    <col min="4" max="4" width="24.5" customWidth="1"/>
    <col min="5" max="5" width="7.6640625" style="4" customWidth="1"/>
    <col min="6" max="6" width="12.33203125" customWidth="1"/>
    <col min="7" max="7" width="21.6640625" style="4" customWidth="1"/>
    <col min="8" max="8" width="20.33203125" customWidth="1"/>
    <col min="9" max="9" width="21.6640625" customWidth="1"/>
    <col min="10" max="10" width="12.6640625" customWidth="1"/>
    <col min="12" max="13" width="9" customWidth="1"/>
    <col min="15" max="15" width="15.6640625" customWidth="1"/>
  </cols>
  <sheetData>
    <row r="1" spans="1:15" s="1" customFormat="1" ht="25.5" customHeight="1">
      <c r="A1" s="5"/>
      <c r="B1" s="5"/>
      <c r="C1" s="5"/>
      <c r="D1" s="5"/>
      <c r="E1" s="5"/>
      <c r="F1" s="5"/>
      <c r="G1" s="6"/>
      <c r="H1" s="6"/>
      <c r="I1" s="142" t="s">
        <v>0</v>
      </c>
      <c r="J1" s="142"/>
      <c r="K1" s="142"/>
      <c r="L1" s="142"/>
      <c r="M1" s="142"/>
      <c r="N1" s="142"/>
    </row>
    <row r="2" spans="1:15" s="1" customFormat="1" ht="25.5" customHeight="1">
      <c r="A2" s="7" t="s">
        <v>1</v>
      </c>
      <c r="B2" s="8"/>
      <c r="C2" s="5"/>
      <c r="D2" s="5"/>
      <c r="E2" s="5"/>
      <c r="F2" s="5"/>
      <c r="G2" s="6"/>
      <c r="H2" s="6"/>
      <c r="I2" s="142" t="s">
        <v>2</v>
      </c>
      <c r="J2" s="142"/>
      <c r="K2" s="142"/>
      <c r="L2" s="142"/>
      <c r="M2" s="142"/>
      <c r="N2" s="142"/>
    </row>
    <row r="3" spans="1:15" s="1" customFormat="1" ht="26">
      <c r="A3" s="7" t="s">
        <v>3</v>
      </c>
      <c r="B3" s="8"/>
      <c r="C3" s="5"/>
      <c r="D3" s="5"/>
      <c r="E3" s="5"/>
      <c r="F3" s="5"/>
      <c r="G3" s="9"/>
      <c r="H3" s="9"/>
      <c r="I3" s="143">
        <v>323</v>
      </c>
      <c r="J3" s="143"/>
      <c r="K3" s="143"/>
      <c r="L3" s="143"/>
      <c r="M3" s="143"/>
      <c r="N3" s="143"/>
    </row>
    <row r="4" spans="1:15" s="1" customFormat="1" ht="29">
      <c r="A4" s="144" t="s">
        <v>747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0"/>
    </row>
    <row r="5" spans="1:15" s="1" customFormat="1" ht="29.25" customHeight="1">
      <c r="A5" s="145" t="s">
        <v>748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1"/>
    </row>
    <row r="6" spans="1:15" ht="80">
      <c r="A6" s="12" t="s">
        <v>6</v>
      </c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74" t="s">
        <v>13</v>
      </c>
      <c r="I6" s="12" t="s">
        <v>14</v>
      </c>
      <c r="J6" s="12" t="s">
        <v>15</v>
      </c>
      <c r="K6" s="44" t="s">
        <v>16</v>
      </c>
      <c r="L6" s="44" t="s">
        <v>17</v>
      </c>
      <c r="M6" s="44" t="s">
        <v>18</v>
      </c>
      <c r="N6" s="12" t="s">
        <v>19</v>
      </c>
      <c r="O6" s="12" t="s">
        <v>20</v>
      </c>
    </row>
    <row r="7" spans="1:15" ht="29.25" customHeight="1">
      <c r="A7" s="39">
        <v>11</v>
      </c>
      <c r="B7" s="15">
        <v>8128</v>
      </c>
      <c r="C7" s="20" t="s">
        <v>749</v>
      </c>
      <c r="D7" s="21" t="s">
        <v>750</v>
      </c>
      <c r="E7" s="22" t="s">
        <v>33</v>
      </c>
      <c r="F7" s="23" t="s">
        <v>34</v>
      </c>
      <c r="G7" s="24" t="s">
        <v>265</v>
      </c>
      <c r="H7" s="69" t="s">
        <v>751</v>
      </c>
      <c r="I7" s="49" t="s">
        <v>752</v>
      </c>
      <c r="J7" s="50" t="s">
        <v>28</v>
      </c>
      <c r="K7" s="23">
        <v>2019</v>
      </c>
      <c r="L7" s="68"/>
      <c r="M7" s="23">
        <v>10</v>
      </c>
      <c r="N7" s="51"/>
      <c r="O7" s="52" t="s">
        <v>753</v>
      </c>
    </row>
    <row r="8" spans="1:15" ht="29.25" customHeight="1">
      <c r="A8" s="39">
        <v>5</v>
      </c>
      <c r="B8" s="15">
        <v>8129</v>
      </c>
      <c r="C8" s="20" t="s">
        <v>754</v>
      </c>
      <c r="D8" s="21" t="s">
        <v>755</v>
      </c>
      <c r="E8" s="22" t="s">
        <v>33</v>
      </c>
      <c r="F8" s="23" t="s">
        <v>34</v>
      </c>
      <c r="G8" s="24" t="s">
        <v>756</v>
      </c>
      <c r="H8" s="69" t="s">
        <v>757</v>
      </c>
      <c r="I8" s="49" t="s">
        <v>111</v>
      </c>
      <c r="J8" s="50" t="s">
        <v>28</v>
      </c>
      <c r="K8" s="23">
        <v>2019</v>
      </c>
      <c r="L8" s="68"/>
      <c r="M8" s="23">
        <v>9</v>
      </c>
      <c r="N8" s="51"/>
      <c r="O8" s="52" t="s">
        <v>758</v>
      </c>
    </row>
    <row r="9" spans="1:15" ht="29.25" customHeight="1">
      <c r="A9" s="39">
        <v>8</v>
      </c>
      <c r="B9" s="15">
        <v>8130</v>
      </c>
      <c r="C9" s="20" t="s">
        <v>759</v>
      </c>
      <c r="D9" s="21" t="s">
        <v>760</v>
      </c>
      <c r="E9" s="22" t="s">
        <v>33</v>
      </c>
      <c r="F9" s="23" t="s">
        <v>34</v>
      </c>
      <c r="G9" s="20" t="s">
        <v>761</v>
      </c>
      <c r="H9" s="69" t="s">
        <v>762</v>
      </c>
      <c r="I9" s="49" t="s">
        <v>763</v>
      </c>
      <c r="J9" s="50" t="s">
        <v>764</v>
      </c>
      <c r="K9" s="23">
        <v>2019</v>
      </c>
      <c r="L9" s="20"/>
      <c r="M9" s="23">
        <v>34</v>
      </c>
      <c r="N9" s="20"/>
      <c r="O9" s="52" t="s">
        <v>765</v>
      </c>
    </row>
    <row r="10" spans="1:15" ht="25.5" customHeight="1">
      <c r="A10" s="39">
        <v>3</v>
      </c>
      <c r="B10" s="15">
        <v>8131</v>
      </c>
      <c r="C10" s="20" t="s">
        <v>766</v>
      </c>
      <c r="D10" s="75" t="s">
        <v>767</v>
      </c>
      <c r="E10" s="22" t="s">
        <v>33</v>
      </c>
      <c r="F10" s="23" t="s">
        <v>34</v>
      </c>
      <c r="G10" s="24" t="s">
        <v>768</v>
      </c>
      <c r="H10" s="69" t="s">
        <v>769</v>
      </c>
      <c r="I10" s="49" t="s">
        <v>133</v>
      </c>
      <c r="J10" s="50" t="s">
        <v>28</v>
      </c>
      <c r="K10" s="23">
        <v>2019</v>
      </c>
      <c r="L10" s="68"/>
      <c r="M10" s="23">
        <v>21</v>
      </c>
      <c r="N10" s="51"/>
      <c r="O10" s="52" t="s">
        <v>770</v>
      </c>
    </row>
    <row r="11" spans="1:15" ht="29.25" customHeight="1">
      <c r="A11" s="39">
        <v>1</v>
      </c>
      <c r="B11" s="15">
        <v>8132</v>
      </c>
      <c r="C11" s="20" t="s">
        <v>771</v>
      </c>
      <c r="D11" s="21" t="s">
        <v>772</v>
      </c>
      <c r="E11" s="22" t="s">
        <v>23</v>
      </c>
      <c r="F11" s="23" t="s">
        <v>24</v>
      </c>
      <c r="G11" s="24" t="s">
        <v>773</v>
      </c>
      <c r="H11" s="69" t="s">
        <v>774</v>
      </c>
      <c r="I11" s="59" t="s">
        <v>775</v>
      </c>
      <c r="J11" s="50" t="s">
        <v>62</v>
      </c>
      <c r="K11" s="23">
        <v>2019</v>
      </c>
      <c r="L11" s="23"/>
      <c r="M11" s="23">
        <v>29</v>
      </c>
      <c r="N11" s="51"/>
      <c r="O11" s="52" t="s">
        <v>776</v>
      </c>
    </row>
    <row r="12" spans="1:15" ht="29.25" customHeight="1">
      <c r="A12" s="39">
        <v>2</v>
      </c>
      <c r="B12" s="15">
        <v>8133</v>
      </c>
      <c r="C12" s="20" t="s">
        <v>777</v>
      </c>
      <c r="D12" s="21" t="s">
        <v>778</v>
      </c>
      <c r="E12" s="22" t="s">
        <v>33</v>
      </c>
      <c r="F12" s="23" t="s">
        <v>34</v>
      </c>
      <c r="G12" s="76" t="s">
        <v>779</v>
      </c>
      <c r="H12" s="69" t="s">
        <v>780</v>
      </c>
      <c r="I12" s="59" t="s">
        <v>775</v>
      </c>
      <c r="J12" s="50" t="s">
        <v>62</v>
      </c>
      <c r="K12" s="23">
        <v>2019</v>
      </c>
      <c r="L12" s="68"/>
      <c r="M12" s="23">
        <v>12</v>
      </c>
      <c r="N12" s="51"/>
      <c r="O12" s="52" t="s">
        <v>781</v>
      </c>
    </row>
    <row r="13" spans="1:15" ht="29.25" customHeight="1">
      <c r="A13" s="39">
        <v>10</v>
      </c>
      <c r="B13" s="15">
        <v>8134</v>
      </c>
      <c r="C13" s="20" t="s">
        <v>782</v>
      </c>
      <c r="D13" s="21" t="s">
        <v>783</v>
      </c>
      <c r="E13" s="22" t="s">
        <v>33</v>
      </c>
      <c r="F13" s="23" t="s">
        <v>34</v>
      </c>
      <c r="G13" s="24" t="s">
        <v>784</v>
      </c>
      <c r="H13" s="69" t="s">
        <v>785</v>
      </c>
      <c r="I13" s="49" t="s">
        <v>786</v>
      </c>
      <c r="J13" s="50" t="s">
        <v>28</v>
      </c>
      <c r="K13" s="23">
        <v>2019</v>
      </c>
      <c r="L13" s="68"/>
      <c r="M13" s="23">
        <v>22</v>
      </c>
      <c r="N13" s="51"/>
      <c r="O13" s="52" t="s">
        <v>787</v>
      </c>
    </row>
    <row r="14" spans="1:15" ht="29.25" customHeight="1">
      <c r="A14" s="39">
        <v>6</v>
      </c>
      <c r="B14" s="15">
        <v>8135</v>
      </c>
      <c r="C14" s="20" t="s">
        <v>788</v>
      </c>
      <c r="D14" s="21" t="s">
        <v>789</v>
      </c>
      <c r="E14" s="22" t="s">
        <v>33</v>
      </c>
      <c r="F14" s="23" t="s">
        <v>34</v>
      </c>
      <c r="G14" s="20" t="s">
        <v>790</v>
      </c>
      <c r="H14" s="69" t="s">
        <v>791</v>
      </c>
      <c r="I14" s="49" t="s">
        <v>133</v>
      </c>
      <c r="J14" s="50" t="s">
        <v>28</v>
      </c>
      <c r="K14" s="23">
        <v>2019</v>
      </c>
      <c r="L14" s="20"/>
      <c r="M14" s="23">
        <v>6</v>
      </c>
      <c r="N14" s="20"/>
      <c r="O14" s="52" t="s">
        <v>792</v>
      </c>
    </row>
    <row r="15" spans="1:15" ht="29.25" customHeight="1">
      <c r="A15" s="39">
        <v>13</v>
      </c>
      <c r="B15" s="15">
        <v>8136</v>
      </c>
      <c r="C15" s="20" t="s">
        <v>267</v>
      </c>
      <c r="D15" s="21" t="s">
        <v>793</v>
      </c>
      <c r="E15" s="22" t="s">
        <v>33</v>
      </c>
      <c r="F15" s="23" t="s">
        <v>34</v>
      </c>
      <c r="G15" s="24" t="s">
        <v>297</v>
      </c>
      <c r="H15" s="69" t="s">
        <v>298</v>
      </c>
      <c r="I15" s="49" t="s">
        <v>37</v>
      </c>
      <c r="J15" s="50" t="s">
        <v>28</v>
      </c>
      <c r="K15" s="23">
        <v>2019</v>
      </c>
      <c r="L15" s="68"/>
      <c r="M15" s="23">
        <v>2</v>
      </c>
      <c r="N15" s="51"/>
      <c r="O15" s="52" t="s">
        <v>794</v>
      </c>
    </row>
    <row r="16" spans="1:15" ht="29.25" customHeight="1">
      <c r="A16" s="39">
        <v>7</v>
      </c>
      <c r="B16" s="15">
        <v>8137</v>
      </c>
      <c r="C16" s="20" t="s">
        <v>795</v>
      </c>
      <c r="D16" s="21" t="s">
        <v>796</v>
      </c>
      <c r="E16" s="22" t="s">
        <v>23</v>
      </c>
      <c r="F16" s="23" t="s">
        <v>24</v>
      </c>
      <c r="G16" s="24" t="s">
        <v>797</v>
      </c>
      <c r="H16" s="69" t="s">
        <v>798</v>
      </c>
      <c r="I16" s="49" t="s">
        <v>799</v>
      </c>
      <c r="J16" s="50" t="s">
        <v>148</v>
      </c>
      <c r="K16" s="23">
        <v>2019</v>
      </c>
      <c r="L16" s="68"/>
      <c r="M16" s="23">
        <v>19</v>
      </c>
      <c r="N16" s="51"/>
      <c r="O16" s="52" t="s">
        <v>800</v>
      </c>
    </row>
    <row r="17" spans="1:15" ht="29.25" customHeight="1">
      <c r="A17" s="39">
        <v>14</v>
      </c>
      <c r="B17" s="15">
        <v>8138</v>
      </c>
      <c r="C17" s="20" t="s">
        <v>801</v>
      </c>
      <c r="D17" s="21" t="s">
        <v>802</v>
      </c>
      <c r="E17" s="22" t="s">
        <v>23</v>
      </c>
      <c r="F17" s="23" t="s">
        <v>24</v>
      </c>
      <c r="G17" s="24" t="s">
        <v>803</v>
      </c>
      <c r="H17" s="69" t="s">
        <v>804</v>
      </c>
      <c r="I17" s="49" t="s">
        <v>805</v>
      </c>
      <c r="J17" s="50" t="s">
        <v>28</v>
      </c>
      <c r="K17" s="23">
        <v>2019</v>
      </c>
      <c r="L17" s="68"/>
      <c r="M17" s="23">
        <v>1</v>
      </c>
      <c r="N17" s="51"/>
      <c r="O17" s="52" t="s">
        <v>806</v>
      </c>
    </row>
    <row r="18" spans="1:15" ht="29.25" customHeight="1">
      <c r="A18" s="39">
        <v>12</v>
      </c>
      <c r="B18" s="15">
        <v>8139</v>
      </c>
      <c r="C18" s="20" t="s">
        <v>807</v>
      </c>
      <c r="D18" s="21" t="s">
        <v>808</v>
      </c>
      <c r="E18" s="22" t="s">
        <v>23</v>
      </c>
      <c r="F18" s="23" t="s">
        <v>24</v>
      </c>
      <c r="G18" s="24" t="s">
        <v>809</v>
      </c>
      <c r="H18" s="69" t="s">
        <v>810</v>
      </c>
      <c r="I18" s="49" t="s">
        <v>811</v>
      </c>
      <c r="J18" s="50" t="s">
        <v>75</v>
      </c>
      <c r="K18" s="23">
        <v>2019</v>
      </c>
      <c r="L18" s="68"/>
      <c r="M18" s="23">
        <v>25</v>
      </c>
      <c r="N18" s="51"/>
      <c r="O18" s="52" t="s">
        <v>812</v>
      </c>
    </row>
    <row r="19" spans="1:15" ht="29.25" customHeight="1">
      <c r="A19" s="39">
        <v>4</v>
      </c>
      <c r="B19" s="15">
        <v>8140</v>
      </c>
      <c r="C19" s="20" t="s">
        <v>813</v>
      </c>
      <c r="D19" s="21" t="s">
        <v>814</v>
      </c>
      <c r="E19" s="22" t="s">
        <v>33</v>
      </c>
      <c r="F19" s="23" t="s">
        <v>34</v>
      </c>
      <c r="G19" s="24" t="s">
        <v>815</v>
      </c>
      <c r="H19" s="69" t="s">
        <v>816</v>
      </c>
      <c r="I19" s="49" t="s">
        <v>811</v>
      </c>
      <c r="J19" s="50" t="s">
        <v>75</v>
      </c>
      <c r="K19" s="23">
        <v>2019</v>
      </c>
      <c r="L19" s="68"/>
      <c r="M19" s="23">
        <v>18</v>
      </c>
      <c r="N19" s="51"/>
      <c r="O19" s="52" t="s">
        <v>817</v>
      </c>
    </row>
    <row r="20" spans="1:15" ht="29.25" customHeight="1">
      <c r="A20" s="39">
        <v>15</v>
      </c>
      <c r="B20" s="15">
        <v>8141</v>
      </c>
      <c r="C20" s="20" t="s">
        <v>818</v>
      </c>
      <c r="D20" s="21" t="s">
        <v>819</v>
      </c>
      <c r="E20" s="22" t="s">
        <v>23</v>
      </c>
      <c r="F20" s="23" t="s">
        <v>24</v>
      </c>
      <c r="G20" s="24" t="s">
        <v>820</v>
      </c>
      <c r="H20" s="69" t="s">
        <v>821</v>
      </c>
      <c r="I20" s="49" t="s">
        <v>822</v>
      </c>
      <c r="J20" s="50" t="s">
        <v>602</v>
      </c>
      <c r="K20" s="23">
        <v>2019</v>
      </c>
      <c r="L20" s="68"/>
      <c r="M20" s="23">
        <v>17</v>
      </c>
      <c r="N20" s="51"/>
      <c r="O20" s="52" t="s">
        <v>823</v>
      </c>
    </row>
    <row r="21" spans="1:15" ht="29.25" customHeight="1">
      <c r="A21" s="39">
        <v>9</v>
      </c>
      <c r="B21" s="15">
        <v>8142</v>
      </c>
      <c r="C21" s="20" t="s">
        <v>824</v>
      </c>
      <c r="D21" s="21" t="s">
        <v>825</v>
      </c>
      <c r="E21" s="22" t="s">
        <v>33</v>
      </c>
      <c r="F21" s="23" t="s">
        <v>34</v>
      </c>
      <c r="G21" s="24" t="s">
        <v>826</v>
      </c>
      <c r="H21" s="69" t="s">
        <v>827</v>
      </c>
      <c r="I21" s="49" t="s">
        <v>786</v>
      </c>
      <c r="J21" s="50" t="s">
        <v>28</v>
      </c>
      <c r="K21" s="23">
        <v>2019</v>
      </c>
      <c r="L21" s="68"/>
      <c r="M21" s="23">
        <v>32</v>
      </c>
      <c r="N21" s="51"/>
      <c r="O21" s="52" t="s">
        <v>828</v>
      </c>
    </row>
    <row r="22" spans="1:15" ht="29.25" customHeight="1">
      <c r="A22" s="39">
        <v>16</v>
      </c>
      <c r="B22" s="37"/>
      <c r="C22" s="31"/>
      <c r="D22" s="32"/>
      <c r="E22" s="22"/>
      <c r="F22" s="23"/>
      <c r="G22" s="35"/>
      <c r="H22" s="69"/>
      <c r="I22" s="49"/>
      <c r="J22" s="50"/>
      <c r="K22" s="23"/>
      <c r="L22" s="77"/>
      <c r="M22" s="23"/>
      <c r="N22" s="52"/>
      <c r="O22" s="52"/>
    </row>
    <row r="23" spans="1:15" ht="29.25" customHeight="1">
      <c r="A23" s="39">
        <v>17</v>
      </c>
      <c r="B23" s="37"/>
      <c r="C23" s="20"/>
      <c r="D23" s="21"/>
      <c r="E23" s="22"/>
      <c r="F23" s="20"/>
      <c r="G23" s="24"/>
      <c r="H23" s="69"/>
      <c r="I23" s="49"/>
      <c r="J23" s="50"/>
      <c r="K23" s="23"/>
      <c r="L23" s="68"/>
      <c r="M23" s="23"/>
      <c r="N23" s="51"/>
      <c r="O23" s="52"/>
    </row>
    <row r="24" spans="1:15" ht="29.25" customHeight="1">
      <c r="A24" s="39">
        <v>18</v>
      </c>
      <c r="B24" s="37"/>
      <c r="C24" s="20"/>
      <c r="D24" s="20"/>
      <c r="E24" s="22"/>
      <c r="F24" s="20"/>
      <c r="G24" s="24"/>
      <c r="H24" s="69"/>
      <c r="I24" s="49"/>
      <c r="J24" s="50"/>
      <c r="K24" s="23"/>
      <c r="L24" s="69"/>
      <c r="M24" s="23"/>
      <c r="N24" s="51"/>
      <c r="O24" s="52"/>
    </row>
    <row r="25" spans="1:15" ht="29.25" customHeight="1">
      <c r="A25" s="39">
        <v>19</v>
      </c>
      <c r="B25" s="37"/>
      <c r="C25" s="20"/>
      <c r="D25" s="21"/>
      <c r="E25" s="22"/>
      <c r="F25" s="20"/>
      <c r="G25" s="24"/>
      <c r="H25" s="69"/>
      <c r="I25" s="49"/>
      <c r="J25" s="50"/>
      <c r="K25" s="23"/>
      <c r="L25" s="68"/>
      <c r="M25" s="23"/>
      <c r="N25" s="51"/>
      <c r="O25" s="52"/>
    </row>
    <row r="26" spans="1:15" ht="29.25" customHeight="1">
      <c r="A26" s="39">
        <v>20</v>
      </c>
      <c r="B26" s="37"/>
      <c r="C26" s="20"/>
      <c r="D26" s="20"/>
      <c r="E26" s="22"/>
      <c r="F26" s="20"/>
      <c r="G26" s="24"/>
      <c r="H26" s="69"/>
      <c r="I26" s="49"/>
      <c r="J26" s="50"/>
      <c r="K26" s="23"/>
      <c r="L26" s="68"/>
      <c r="M26" s="23"/>
      <c r="N26" s="51"/>
      <c r="O26" s="52"/>
    </row>
    <row r="27" spans="1:15" ht="29.25" customHeight="1">
      <c r="A27" s="39">
        <v>21</v>
      </c>
      <c r="B27" s="37"/>
      <c r="C27" s="20"/>
      <c r="D27" s="21"/>
      <c r="E27" s="22"/>
      <c r="F27" s="20"/>
      <c r="G27" s="24"/>
      <c r="H27" s="69"/>
      <c r="I27" s="49"/>
      <c r="J27" s="50"/>
      <c r="K27" s="23"/>
      <c r="L27" s="68"/>
      <c r="M27" s="23"/>
      <c r="N27" s="51"/>
      <c r="O27" s="52"/>
    </row>
    <row r="28" spans="1:15" ht="29.25" customHeight="1">
      <c r="A28" s="39">
        <v>40</v>
      </c>
      <c r="B28" s="37"/>
      <c r="C28" s="20"/>
      <c r="D28" s="21"/>
      <c r="E28" s="22"/>
      <c r="F28" s="20"/>
      <c r="G28" s="24"/>
      <c r="H28" s="69"/>
      <c r="I28" s="59"/>
      <c r="J28" s="50"/>
      <c r="K28" s="23"/>
      <c r="L28" s="68"/>
      <c r="M28" s="23"/>
      <c r="N28" s="51"/>
      <c r="O28" s="78"/>
    </row>
    <row r="29" spans="1:15" ht="24" customHeight="1">
      <c r="A29" s="40" t="s">
        <v>173</v>
      </c>
      <c r="B29" s="3"/>
      <c r="C29" s="3"/>
      <c r="D29" s="3"/>
      <c r="E29" s="3"/>
      <c r="F29" s="3"/>
      <c r="G29" s="3"/>
      <c r="H29" s="69"/>
      <c r="I29" s="60" t="s">
        <v>174</v>
      </c>
      <c r="J29" s="60"/>
      <c r="K29" s="60"/>
      <c r="L29" s="60"/>
      <c r="M29" s="3"/>
      <c r="N29">
        <f>COUNTIF(E5:E28,"ស្រី")</f>
        <v>10</v>
      </c>
    </row>
    <row r="30" spans="1:15" ht="24" customHeight="1">
      <c r="A30" s="3"/>
      <c r="B30" s="3"/>
      <c r="C30" s="3"/>
      <c r="D30" s="3"/>
      <c r="E30" s="3"/>
      <c r="F30" s="40"/>
      <c r="G30" s="40"/>
      <c r="H30" s="40"/>
      <c r="I30" s="140" t="s">
        <v>175</v>
      </c>
      <c r="J30" s="140"/>
      <c r="K30" s="140"/>
      <c r="L30" s="140"/>
      <c r="M30" s="61"/>
    </row>
    <row r="31" spans="1:15" ht="24" customHeight="1">
      <c r="A31" s="41"/>
      <c r="B31" s="41"/>
      <c r="C31" s="141" t="s">
        <v>176</v>
      </c>
      <c r="D31" s="141"/>
      <c r="E31" s="141"/>
      <c r="F31" s="141"/>
      <c r="G31" s="43"/>
      <c r="H31" s="43"/>
      <c r="I31" s="141" t="s">
        <v>177</v>
      </c>
      <c r="J31" s="141"/>
      <c r="K31" s="141"/>
      <c r="L31" s="141"/>
      <c r="M31" s="42"/>
      <c r="N31" s="62"/>
    </row>
    <row r="32" spans="1:15" ht="24" customHeight="1">
      <c r="A32" s="41"/>
      <c r="B32" s="41"/>
      <c r="C32" s="139" t="s">
        <v>178</v>
      </c>
      <c r="D32" s="139"/>
      <c r="E32" s="139"/>
      <c r="F32" s="139"/>
      <c r="G32" s="3"/>
      <c r="H32" s="3"/>
      <c r="I32" s="3"/>
      <c r="J32" s="3"/>
      <c r="K32" s="3"/>
      <c r="L32" s="3"/>
      <c r="M32" s="3"/>
    </row>
    <row r="33" spans="1:13" ht="24" customHeight="1">
      <c r="A33" s="41"/>
      <c r="B33" s="41"/>
      <c r="C33" s="141" t="s">
        <v>179</v>
      </c>
      <c r="D33" s="141"/>
      <c r="E33" s="141"/>
      <c r="F33" s="141"/>
      <c r="G33" s="3"/>
      <c r="H33" s="3"/>
      <c r="I33" s="3"/>
      <c r="J33" s="3"/>
      <c r="K33" s="3"/>
      <c r="L33" s="3"/>
      <c r="M33" s="3"/>
    </row>
    <row r="34" spans="1:13" ht="24" customHeight="1"/>
    <row r="35" spans="1:13" ht="24" customHeight="1">
      <c r="C35" t="s">
        <v>829</v>
      </c>
      <c r="D35">
        <f>COUNTA(C7:C21)</f>
        <v>15</v>
      </c>
    </row>
    <row r="36" spans="1:13" ht="24" customHeight="1">
      <c r="C36" t="s">
        <v>830</v>
      </c>
      <c r="D36">
        <f>COUNTIF(E7:E21,E19)</f>
        <v>10</v>
      </c>
    </row>
    <row r="37" spans="1:13" ht="24" customHeight="1"/>
    <row r="38" spans="1:13" ht="24" customHeight="1"/>
    <row r="39" spans="1:13" ht="24" customHeight="1"/>
    <row r="40" spans="1:13" ht="24" customHeight="1"/>
    <row r="41" spans="1:13" ht="24" customHeight="1"/>
    <row r="42" spans="1:13" ht="24" customHeight="1"/>
    <row r="43" spans="1:13" ht="24" customHeight="1"/>
    <row r="44" spans="1:13" ht="24" customHeight="1"/>
    <row r="45" spans="1:13" ht="24" customHeight="1"/>
    <row r="46" spans="1:13" ht="24" customHeight="1"/>
    <row r="47" spans="1:13" ht="24" customHeight="1"/>
    <row r="48" spans="1:13" s="3" customFormat="1" ht="24">
      <c r="A48"/>
      <c r="B48"/>
      <c r="C48"/>
      <c r="D48"/>
      <c r="E48" s="4"/>
      <c r="F48"/>
      <c r="G48" s="4"/>
      <c r="H48"/>
      <c r="I48"/>
      <c r="J48"/>
      <c r="K48"/>
      <c r="L48"/>
      <c r="M48"/>
    </row>
    <row r="49" spans="1:18" s="3" customFormat="1" ht="24">
      <c r="A49"/>
      <c r="B49"/>
      <c r="C49"/>
      <c r="D49"/>
      <c r="E49" s="4"/>
      <c r="F49"/>
      <c r="G49" s="4"/>
      <c r="H49"/>
      <c r="I49"/>
      <c r="J49"/>
      <c r="K49"/>
      <c r="L49"/>
      <c r="M49"/>
      <c r="O49" s="40">
        <f>COUNTIF(E7:E27,"ស្រី")</f>
        <v>10</v>
      </c>
      <c r="P49" s="40"/>
      <c r="Q49" s="40"/>
      <c r="R49" s="40"/>
    </row>
    <row r="50" spans="1:18" s="3" customFormat="1" ht="24">
      <c r="A50"/>
      <c r="B50"/>
      <c r="C50"/>
      <c r="D50"/>
      <c r="E50" s="4"/>
      <c r="F50"/>
      <c r="G50" s="4"/>
      <c r="H50"/>
      <c r="I50"/>
      <c r="J50"/>
      <c r="K50"/>
      <c r="L50"/>
      <c r="M50"/>
      <c r="O50" s="40"/>
      <c r="P50" s="139"/>
      <c r="Q50" s="139"/>
      <c r="R50" s="139"/>
    </row>
    <row r="51" spans="1:18" s="3" customFormat="1" ht="24">
      <c r="A51"/>
      <c r="B51"/>
      <c r="C51"/>
      <c r="D51"/>
      <c r="E51" s="4"/>
      <c r="F51"/>
      <c r="G51" s="4"/>
      <c r="H51"/>
      <c r="I51"/>
      <c r="J51"/>
      <c r="K51"/>
      <c r="L51"/>
      <c r="M51"/>
      <c r="P51" s="139"/>
      <c r="Q51" s="139"/>
      <c r="R51" s="139"/>
    </row>
    <row r="52" spans="1:18" s="3" customFormat="1" ht="24">
      <c r="A52"/>
      <c r="B52"/>
      <c r="C52"/>
      <c r="D52"/>
      <c r="E52" s="4"/>
      <c r="F52"/>
      <c r="G52" s="4"/>
      <c r="H52"/>
      <c r="I52"/>
      <c r="J52"/>
      <c r="K52"/>
      <c r="L52"/>
      <c r="M52"/>
      <c r="P52" s="139"/>
      <c r="Q52" s="139"/>
      <c r="R52" s="139"/>
    </row>
  </sheetData>
  <mergeCells count="13">
    <mergeCell ref="I1:N1"/>
    <mergeCell ref="I2:N2"/>
    <mergeCell ref="I3:N3"/>
    <mergeCell ref="A4:L4"/>
    <mergeCell ref="A5:L5"/>
    <mergeCell ref="P50:R50"/>
    <mergeCell ref="P51:R51"/>
    <mergeCell ref="P52:R52"/>
    <mergeCell ref="I30:L30"/>
    <mergeCell ref="C31:F31"/>
    <mergeCell ref="I31:L31"/>
    <mergeCell ref="C32:F32"/>
    <mergeCell ref="C33:F3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11"/>
  </sheetPr>
  <dimension ref="A1:R35"/>
  <sheetViews>
    <sheetView topLeftCell="A13" zoomScale="90" zoomScaleNormal="90" workbookViewId="0">
      <selection activeCell="B7" sqref="B7:B20"/>
    </sheetView>
  </sheetViews>
  <sheetFormatPr baseColWidth="10" defaultColWidth="8.6640625" defaultRowHeight="13"/>
  <cols>
    <col min="1" max="1" width="6" customWidth="1"/>
    <col min="2" max="2" width="7.6640625" customWidth="1"/>
    <col min="3" max="3" width="18.5" customWidth="1"/>
    <col min="4" max="4" width="24.5" customWidth="1"/>
    <col min="5" max="5" width="7.6640625" style="4" customWidth="1"/>
    <col min="6" max="6" width="12.33203125" customWidth="1"/>
    <col min="7" max="7" width="21.6640625" style="4" customWidth="1"/>
    <col min="8" max="8" width="20.33203125" customWidth="1"/>
    <col min="9" max="9" width="21.6640625" customWidth="1"/>
    <col min="10" max="10" width="12.6640625" customWidth="1"/>
    <col min="12" max="13" width="9" customWidth="1"/>
    <col min="15" max="15" width="15.5" customWidth="1"/>
  </cols>
  <sheetData>
    <row r="1" spans="1:15" s="1" customFormat="1" ht="25.5" customHeight="1">
      <c r="A1" s="5"/>
      <c r="B1" s="5"/>
      <c r="C1" s="5"/>
      <c r="D1" s="5"/>
      <c r="E1" s="5"/>
      <c r="F1" s="5"/>
      <c r="G1" s="6"/>
      <c r="H1" s="6"/>
      <c r="I1" s="142" t="s">
        <v>0</v>
      </c>
      <c r="J1" s="142"/>
      <c r="K1" s="142"/>
      <c r="L1" s="142"/>
      <c r="M1" s="142"/>
      <c r="N1" s="142"/>
    </row>
    <row r="2" spans="1:15" s="1" customFormat="1" ht="25.5" customHeight="1">
      <c r="A2" s="7" t="s">
        <v>1</v>
      </c>
      <c r="B2" s="8"/>
      <c r="C2" s="5"/>
      <c r="D2" s="5"/>
      <c r="E2" s="5"/>
      <c r="F2" s="5"/>
      <c r="G2" s="6"/>
      <c r="H2" s="6"/>
      <c r="I2" s="142" t="s">
        <v>2</v>
      </c>
      <c r="J2" s="142"/>
      <c r="K2" s="142"/>
      <c r="L2" s="142"/>
      <c r="M2" s="142"/>
      <c r="N2" s="142"/>
    </row>
    <row r="3" spans="1:15" s="1" customFormat="1" ht="26">
      <c r="A3" s="7" t="s">
        <v>3</v>
      </c>
      <c r="B3" s="8"/>
      <c r="C3" s="5"/>
      <c r="D3" s="5"/>
      <c r="E3" s="5"/>
      <c r="F3" s="5"/>
      <c r="G3" s="9"/>
      <c r="H3" s="9"/>
      <c r="I3" s="143">
        <v>323</v>
      </c>
      <c r="J3" s="143"/>
      <c r="K3" s="143"/>
      <c r="L3" s="143"/>
      <c r="M3" s="143"/>
      <c r="N3" s="143"/>
    </row>
    <row r="4" spans="1:15" s="1" customFormat="1" ht="29">
      <c r="A4" s="144" t="s">
        <v>4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0"/>
    </row>
    <row r="5" spans="1:15" s="1" customFormat="1" ht="29.25" customHeight="1">
      <c r="A5" s="145" t="s">
        <v>831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1"/>
    </row>
    <row r="6" spans="1:15" ht="80">
      <c r="A6" s="12" t="s">
        <v>6</v>
      </c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3" t="s">
        <v>13</v>
      </c>
      <c r="I6" s="12" t="s">
        <v>14</v>
      </c>
      <c r="J6" s="12" t="s">
        <v>15</v>
      </c>
      <c r="K6" s="44" t="s">
        <v>16</v>
      </c>
      <c r="L6" s="44" t="s">
        <v>17</v>
      </c>
      <c r="M6" s="44" t="s">
        <v>18</v>
      </c>
      <c r="N6" s="12" t="s">
        <v>19</v>
      </c>
      <c r="O6" s="12" t="s">
        <v>20</v>
      </c>
    </row>
    <row r="7" spans="1:15" ht="29.25" customHeight="1">
      <c r="A7" s="39">
        <v>4</v>
      </c>
      <c r="B7" s="15">
        <v>8143</v>
      </c>
      <c r="C7" s="20" t="s">
        <v>832</v>
      </c>
      <c r="D7" s="28" t="s">
        <v>833</v>
      </c>
      <c r="E7" s="24" t="s">
        <v>23</v>
      </c>
      <c r="F7" s="23" t="s">
        <v>24</v>
      </c>
      <c r="G7" s="24" t="s">
        <v>834</v>
      </c>
      <c r="H7" s="28" t="s">
        <v>835</v>
      </c>
      <c r="I7" s="59" t="s">
        <v>811</v>
      </c>
      <c r="J7" s="50" t="s">
        <v>28</v>
      </c>
      <c r="K7" s="23">
        <v>2019</v>
      </c>
      <c r="L7" s="23"/>
      <c r="M7" s="23">
        <v>9</v>
      </c>
      <c r="N7" s="51"/>
      <c r="O7" s="23" t="s">
        <v>836</v>
      </c>
    </row>
    <row r="8" spans="1:15" ht="29.25" customHeight="1">
      <c r="A8" s="39">
        <v>5</v>
      </c>
      <c r="B8" s="15">
        <v>8144</v>
      </c>
      <c r="C8" s="20" t="s">
        <v>837</v>
      </c>
      <c r="D8" s="21" t="s">
        <v>838</v>
      </c>
      <c r="E8" s="22" t="s">
        <v>23</v>
      </c>
      <c r="F8" s="23" t="s">
        <v>24</v>
      </c>
      <c r="G8" s="24" t="s">
        <v>839</v>
      </c>
      <c r="H8" s="28" t="s">
        <v>840</v>
      </c>
      <c r="I8" s="59" t="s">
        <v>841</v>
      </c>
      <c r="J8" s="50" t="s">
        <v>28</v>
      </c>
      <c r="K8" s="23">
        <v>2019</v>
      </c>
      <c r="L8" s="23"/>
      <c r="M8" s="23">
        <v>15</v>
      </c>
      <c r="N8" s="51"/>
      <c r="O8" s="23" t="s">
        <v>842</v>
      </c>
    </row>
    <row r="9" spans="1:15" ht="29.25" customHeight="1">
      <c r="A9" s="39">
        <v>6</v>
      </c>
      <c r="B9" s="15">
        <v>8145</v>
      </c>
      <c r="C9" s="20" t="s">
        <v>843</v>
      </c>
      <c r="D9" s="21" t="s">
        <v>844</v>
      </c>
      <c r="E9" s="22" t="s">
        <v>23</v>
      </c>
      <c r="F9" s="23" t="s">
        <v>24</v>
      </c>
      <c r="G9" s="24" t="s">
        <v>845</v>
      </c>
      <c r="H9" s="28" t="s">
        <v>846</v>
      </c>
      <c r="I9" s="70" t="s">
        <v>847</v>
      </c>
      <c r="J9" s="50" t="s">
        <v>28</v>
      </c>
      <c r="K9" s="23">
        <v>2019</v>
      </c>
      <c r="L9" s="23"/>
      <c r="M9" s="23">
        <v>18</v>
      </c>
      <c r="N9" s="51"/>
      <c r="O9" s="23" t="s">
        <v>848</v>
      </c>
    </row>
    <row r="10" spans="1:15" ht="29.25" customHeight="1">
      <c r="A10" s="39">
        <v>7</v>
      </c>
      <c r="B10" s="15">
        <v>8146</v>
      </c>
      <c r="C10" s="20" t="s">
        <v>849</v>
      </c>
      <c r="D10" s="21" t="s">
        <v>850</v>
      </c>
      <c r="E10" s="22" t="s">
        <v>33</v>
      </c>
      <c r="F10" s="23" t="s">
        <v>34</v>
      </c>
      <c r="G10" s="24" t="s">
        <v>529</v>
      </c>
      <c r="H10" s="28" t="s">
        <v>851</v>
      </c>
      <c r="I10" s="59" t="s">
        <v>257</v>
      </c>
      <c r="J10" s="50" t="s">
        <v>28</v>
      </c>
      <c r="K10" s="23">
        <v>2019</v>
      </c>
      <c r="L10" s="23"/>
      <c r="M10" s="23">
        <v>39</v>
      </c>
      <c r="N10" s="51"/>
      <c r="O10" s="23" t="s">
        <v>852</v>
      </c>
    </row>
    <row r="11" spans="1:15" ht="29.25" customHeight="1">
      <c r="A11" s="39">
        <v>1</v>
      </c>
      <c r="B11" s="15">
        <v>8147</v>
      </c>
      <c r="C11" s="20" t="s">
        <v>853</v>
      </c>
      <c r="D11" s="21" t="s">
        <v>854</v>
      </c>
      <c r="E11" s="22" t="s">
        <v>33</v>
      </c>
      <c r="F11" s="23" t="s">
        <v>34</v>
      </c>
      <c r="G11" s="24" t="s">
        <v>855</v>
      </c>
      <c r="H11" s="67" t="s">
        <v>856</v>
      </c>
      <c r="I11" s="49" t="s">
        <v>857</v>
      </c>
      <c r="J11" s="50" t="s">
        <v>28</v>
      </c>
      <c r="K11" s="23">
        <v>2019</v>
      </c>
      <c r="L11" s="23"/>
      <c r="M11" s="23">
        <v>6</v>
      </c>
      <c r="N11" s="51"/>
      <c r="O11" s="52" t="s">
        <v>858</v>
      </c>
    </row>
    <row r="12" spans="1:15" ht="29.25" customHeight="1">
      <c r="A12" s="39">
        <v>8</v>
      </c>
      <c r="B12" s="15">
        <v>8148</v>
      </c>
      <c r="C12" s="20" t="s">
        <v>859</v>
      </c>
      <c r="D12" s="65" t="s">
        <v>860</v>
      </c>
      <c r="E12" s="24" t="s">
        <v>23</v>
      </c>
      <c r="F12" s="23" t="s">
        <v>24</v>
      </c>
      <c r="G12" s="24" t="s">
        <v>861</v>
      </c>
      <c r="H12" s="28" t="s">
        <v>862</v>
      </c>
      <c r="I12" s="59" t="s">
        <v>257</v>
      </c>
      <c r="J12" s="50" t="s">
        <v>28</v>
      </c>
      <c r="K12" s="23">
        <v>2019</v>
      </c>
      <c r="L12" s="23"/>
      <c r="M12" s="23">
        <v>36</v>
      </c>
      <c r="N12" s="51"/>
      <c r="O12" s="23" t="s">
        <v>863</v>
      </c>
    </row>
    <row r="13" spans="1:15" ht="29.25" customHeight="1">
      <c r="A13" s="39">
        <v>3</v>
      </c>
      <c r="B13" s="15">
        <v>8149</v>
      </c>
      <c r="C13" s="20" t="s">
        <v>864</v>
      </c>
      <c r="D13" s="65" t="s">
        <v>865</v>
      </c>
      <c r="E13" s="24" t="s">
        <v>33</v>
      </c>
      <c r="F13" s="23" t="s">
        <v>34</v>
      </c>
      <c r="G13" s="66" t="s">
        <v>866</v>
      </c>
      <c r="H13" s="67" t="s">
        <v>867</v>
      </c>
      <c r="I13" s="59" t="s">
        <v>868</v>
      </c>
      <c r="J13" s="50" t="s">
        <v>28</v>
      </c>
      <c r="K13" s="23">
        <v>2019</v>
      </c>
      <c r="L13" s="23"/>
      <c r="M13" s="23">
        <v>8</v>
      </c>
      <c r="N13" s="51"/>
      <c r="O13" s="52" t="s">
        <v>869</v>
      </c>
    </row>
    <row r="14" spans="1:15" ht="29.25" customHeight="1">
      <c r="A14" s="39">
        <v>9</v>
      </c>
      <c r="B14" s="15">
        <v>8150</v>
      </c>
      <c r="C14" s="20" t="s">
        <v>156</v>
      </c>
      <c r="D14" s="21" t="s">
        <v>157</v>
      </c>
      <c r="E14" s="22" t="s">
        <v>33</v>
      </c>
      <c r="F14" s="23" t="s">
        <v>34</v>
      </c>
      <c r="G14" s="24" t="s">
        <v>168</v>
      </c>
      <c r="H14" s="28" t="s">
        <v>169</v>
      </c>
      <c r="I14" s="59" t="s">
        <v>257</v>
      </c>
      <c r="J14" s="50" t="s">
        <v>28</v>
      </c>
      <c r="K14" s="23">
        <v>2019</v>
      </c>
      <c r="L14" s="23"/>
      <c r="M14" s="23">
        <v>25</v>
      </c>
      <c r="N14" s="51"/>
      <c r="O14" s="23" t="s">
        <v>870</v>
      </c>
    </row>
    <row r="15" spans="1:15" ht="29.25" customHeight="1">
      <c r="A15" s="39">
        <v>10</v>
      </c>
      <c r="B15" s="15">
        <v>8151</v>
      </c>
      <c r="C15" s="20" t="s">
        <v>871</v>
      </c>
      <c r="D15" s="21" t="s">
        <v>872</v>
      </c>
      <c r="E15" s="22" t="s">
        <v>33</v>
      </c>
      <c r="F15" s="23" t="s">
        <v>34</v>
      </c>
      <c r="G15" s="24" t="s">
        <v>873</v>
      </c>
      <c r="H15" s="28" t="s">
        <v>874</v>
      </c>
      <c r="I15" s="59" t="s">
        <v>257</v>
      </c>
      <c r="J15" s="50" t="s">
        <v>28</v>
      </c>
      <c r="K15" s="23">
        <v>2019</v>
      </c>
      <c r="L15" s="23"/>
      <c r="M15" s="23">
        <v>2</v>
      </c>
      <c r="N15" s="51"/>
      <c r="O15" s="23" t="s">
        <v>875</v>
      </c>
    </row>
    <row r="16" spans="1:15" ht="29.25" customHeight="1">
      <c r="A16" s="39">
        <v>11</v>
      </c>
      <c r="B16" s="15">
        <v>8152</v>
      </c>
      <c r="C16" s="20" t="s">
        <v>876</v>
      </c>
      <c r="D16" s="20" t="s">
        <v>877</v>
      </c>
      <c r="E16" s="22" t="s">
        <v>23</v>
      </c>
      <c r="F16" s="23" t="s">
        <v>24</v>
      </c>
      <c r="G16" s="24" t="s">
        <v>878</v>
      </c>
      <c r="H16" s="28" t="s">
        <v>879</v>
      </c>
      <c r="I16" s="59" t="s">
        <v>84</v>
      </c>
      <c r="J16" s="50" t="s">
        <v>28</v>
      </c>
      <c r="K16" s="23">
        <v>2019</v>
      </c>
      <c r="L16" s="23"/>
      <c r="M16" s="23">
        <v>13</v>
      </c>
      <c r="N16" s="51"/>
      <c r="O16" s="23" t="s">
        <v>880</v>
      </c>
    </row>
    <row r="17" spans="1:18" ht="29.25" customHeight="1">
      <c r="A17" s="39">
        <v>12</v>
      </c>
      <c r="B17" s="15">
        <v>8153</v>
      </c>
      <c r="C17" s="20" t="s">
        <v>881</v>
      </c>
      <c r="D17" s="21" t="s">
        <v>882</v>
      </c>
      <c r="E17" s="22" t="s">
        <v>33</v>
      </c>
      <c r="F17" s="23" t="s">
        <v>34</v>
      </c>
      <c r="G17" s="24" t="s">
        <v>313</v>
      </c>
      <c r="H17" s="28" t="s">
        <v>314</v>
      </c>
      <c r="I17" s="59" t="s">
        <v>257</v>
      </c>
      <c r="J17" s="50" t="s">
        <v>28</v>
      </c>
      <c r="K17" s="23">
        <v>2019</v>
      </c>
      <c r="L17" s="23"/>
      <c r="M17" s="23">
        <v>12</v>
      </c>
      <c r="N17" s="51"/>
      <c r="O17" s="23" t="s">
        <v>883</v>
      </c>
    </row>
    <row r="18" spans="1:18" ht="29.25" customHeight="1">
      <c r="A18" s="39">
        <v>13</v>
      </c>
      <c r="B18" s="15">
        <v>8154</v>
      </c>
      <c r="C18" s="20" t="s">
        <v>884</v>
      </c>
      <c r="D18" s="21" t="s">
        <v>885</v>
      </c>
      <c r="E18" s="22" t="s">
        <v>33</v>
      </c>
      <c r="F18" s="23" t="s">
        <v>34</v>
      </c>
      <c r="G18" s="24" t="s">
        <v>313</v>
      </c>
      <c r="H18" s="28" t="s">
        <v>314</v>
      </c>
      <c r="I18" s="59" t="s">
        <v>257</v>
      </c>
      <c r="J18" s="50" t="s">
        <v>28</v>
      </c>
      <c r="K18" s="23">
        <v>2019</v>
      </c>
      <c r="L18" s="23"/>
      <c r="M18" s="23">
        <v>16</v>
      </c>
      <c r="N18" s="51"/>
      <c r="O18" s="23" t="s">
        <v>886</v>
      </c>
    </row>
    <row r="19" spans="1:18" ht="29.25" customHeight="1">
      <c r="A19" s="39">
        <v>2</v>
      </c>
      <c r="B19" s="15">
        <v>8155</v>
      </c>
      <c r="C19" s="20" t="s">
        <v>887</v>
      </c>
      <c r="D19" s="21" t="s">
        <v>888</v>
      </c>
      <c r="E19" s="22" t="s">
        <v>33</v>
      </c>
      <c r="F19" s="23" t="s">
        <v>34</v>
      </c>
      <c r="G19" s="24" t="s">
        <v>826</v>
      </c>
      <c r="H19" s="67" t="s">
        <v>827</v>
      </c>
      <c r="I19" s="59" t="s">
        <v>889</v>
      </c>
      <c r="J19" s="50" t="s">
        <v>28</v>
      </c>
      <c r="K19" s="23">
        <v>2019</v>
      </c>
      <c r="L19" s="23"/>
      <c r="M19" s="23">
        <v>40</v>
      </c>
      <c r="N19" s="51"/>
      <c r="O19" s="52" t="s">
        <v>890</v>
      </c>
    </row>
    <row r="20" spans="1:18" ht="29.25" customHeight="1">
      <c r="A20" s="39">
        <v>14</v>
      </c>
      <c r="B20" s="15">
        <v>8301</v>
      </c>
      <c r="C20" s="20" t="s">
        <v>891</v>
      </c>
      <c r="D20" s="21" t="s">
        <v>892</v>
      </c>
      <c r="E20" s="22" t="s">
        <v>33</v>
      </c>
      <c r="F20" s="23" t="s">
        <v>34</v>
      </c>
      <c r="G20" s="24" t="s">
        <v>262</v>
      </c>
      <c r="H20" s="67" t="s">
        <v>893</v>
      </c>
      <c r="I20" s="59" t="s">
        <v>257</v>
      </c>
      <c r="J20" s="50" t="s">
        <v>28</v>
      </c>
      <c r="K20" s="23">
        <v>2019</v>
      </c>
      <c r="L20" s="23"/>
      <c r="M20" s="23">
        <v>21</v>
      </c>
      <c r="N20" s="51"/>
      <c r="O20" s="52" t="s">
        <v>894</v>
      </c>
    </row>
    <row r="21" spans="1:18" ht="29.25" customHeight="1">
      <c r="A21" s="39">
        <v>15</v>
      </c>
      <c r="B21" s="37"/>
      <c r="C21" s="20"/>
      <c r="D21" s="21"/>
      <c r="E21" s="22"/>
      <c r="F21" s="23"/>
      <c r="G21" s="24"/>
      <c r="H21" s="67"/>
      <c r="I21" s="49"/>
      <c r="J21" s="50"/>
      <c r="K21" s="23"/>
      <c r="L21" s="23"/>
      <c r="M21" s="23"/>
      <c r="N21" s="51"/>
      <c r="O21" s="52"/>
    </row>
    <row r="22" spans="1:18" ht="29.25" customHeight="1">
      <c r="A22" s="39">
        <v>16</v>
      </c>
      <c r="B22" s="37"/>
      <c r="C22" s="20"/>
      <c r="D22" s="21"/>
      <c r="E22" s="22"/>
      <c r="F22" s="23"/>
      <c r="G22" s="24"/>
      <c r="H22" s="67"/>
      <c r="I22" s="49"/>
      <c r="J22" s="50"/>
      <c r="K22" s="23"/>
      <c r="L22" s="23"/>
      <c r="M22" s="23"/>
      <c r="N22" s="51"/>
      <c r="O22" s="52"/>
    </row>
    <row r="23" spans="1:18" ht="29.25" customHeight="1">
      <c r="A23" s="39">
        <v>17</v>
      </c>
      <c r="B23" s="37"/>
      <c r="C23" s="20"/>
      <c r="D23" s="21"/>
      <c r="E23" s="22"/>
      <c r="F23" s="23"/>
      <c r="G23" s="24"/>
      <c r="H23" s="67"/>
      <c r="I23" s="49"/>
      <c r="J23" s="50"/>
      <c r="K23" s="23"/>
      <c r="L23" s="23"/>
      <c r="M23" s="23"/>
      <c r="N23" s="51"/>
      <c r="O23" s="52"/>
    </row>
    <row r="24" spans="1:18" ht="29.25" customHeight="1">
      <c r="A24" s="39">
        <v>40</v>
      </c>
      <c r="B24" s="37"/>
      <c r="C24" s="20"/>
      <c r="D24" s="21"/>
      <c r="E24" s="22"/>
      <c r="F24" s="23"/>
      <c r="G24" s="24"/>
      <c r="H24" s="67"/>
      <c r="I24" s="59"/>
      <c r="J24" s="50"/>
      <c r="K24" s="23"/>
      <c r="L24" s="23"/>
      <c r="M24" s="23"/>
      <c r="N24" s="51"/>
      <c r="O24" s="52"/>
    </row>
    <row r="25" spans="1:18" ht="24" customHeight="1">
      <c r="A25" s="40" t="s">
        <v>173</v>
      </c>
      <c r="B25" s="3"/>
      <c r="C25" s="3"/>
      <c r="D25" s="3"/>
      <c r="E25" s="3"/>
      <c r="F25" s="3"/>
      <c r="G25" s="3"/>
      <c r="I25" s="60" t="s">
        <v>174</v>
      </c>
      <c r="J25" s="60"/>
      <c r="K25" s="60"/>
      <c r="L25" s="60"/>
      <c r="M25" s="3"/>
      <c r="N25">
        <f>COUNTIF(E5:E24,"ស្រី")</f>
        <v>9</v>
      </c>
    </row>
    <row r="26" spans="1:18" ht="24" customHeight="1">
      <c r="A26" s="3"/>
      <c r="B26" s="3"/>
      <c r="C26" s="3"/>
      <c r="D26" s="3"/>
      <c r="E26" s="3"/>
      <c r="F26" s="40"/>
      <c r="G26" s="40"/>
      <c r="H26" s="40"/>
      <c r="I26" s="140" t="s">
        <v>175</v>
      </c>
      <c r="J26" s="140"/>
      <c r="K26" s="140"/>
      <c r="L26" s="140"/>
      <c r="M26" s="61"/>
    </row>
    <row r="27" spans="1:18" ht="24" customHeight="1">
      <c r="A27" s="41"/>
      <c r="B27" s="41"/>
      <c r="C27" s="141" t="s">
        <v>176</v>
      </c>
      <c r="D27" s="141"/>
      <c r="E27" s="141"/>
      <c r="F27" s="141"/>
      <c r="G27" s="43"/>
      <c r="H27" s="43"/>
      <c r="I27" s="141" t="s">
        <v>177</v>
      </c>
      <c r="J27" s="141"/>
      <c r="K27" s="141"/>
      <c r="L27" s="141"/>
      <c r="M27" s="42"/>
      <c r="N27" s="62"/>
    </row>
    <row r="28" spans="1:18" ht="24" customHeight="1">
      <c r="A28" s="41"/>
      <c r="B28" s="41"/>
      <c r="C28" s="139" t="s">
        <v>178</v>
      </c>
      <c r="D28" s="139"/>
      <c r="E28" s="139"/>
      <c r="F28" s="139"/>
      <c r="G28" s="3"/>
      <c r="H28" s="3"/>
      <c r="I28" s="3"/>
      <c r="J28" s="3"/>
      <c r="K28" s="3"/>
      <c r="L28" s="3"/>
      <c r="M28" s="3"/>
    </row>
    <row r="29" spans="1:18" ht="24" customHeight="1">
      <c r="A29" s="41"/>
      <c r="B29" s="41"/>
      <c r="C29" s="141" t="s">
        <v>179</v>
      </c>
      <c r="D29" s="141"/>
      <c r="E29" s="141"/>
      <c r="F29" s="141"/>
      <c r="G29" s="3"/>
      <c r="H29" s="3"/>
      <c r="I29" s="3"/>
      <c r="J29" s="3"/>
      <c r="K29" s="3"/>
      <c r="L29" s="3"/>
      <c r="M29" s="3"/>
    </row>
    <row r="30" spans="1:18" ht="24" customHeight="1"/>
    <row r="31" spans="1:18" s="3" customFormat="1" ht="24">
      <c r="A31"/>
      <c r="B31"/>
      <c r="C31"/>
      <c r="D31"/>
      <c r="E31" s="4"/>
      <c r="F31"/>
      <c r="G31" s="4"/>
      <c r="H31"/>
      <c r="I31"/>
      <c r="J31"/>
      <c r="K31"/>
      <c r="L31"/>
      <c r="M31"/>
    </row>
    <row r="32" spans="1:18" s="3" customFormat="1" ht="24">
      <c r="A32"/>
      <c r="B32"/>
      <c r="C32" t="s">
        <v>829</v>
      </c>
      <c r="D32">
        <f>COUNTA(C7:C19)</f>
        <v>13</v>
      </c>
      <c r="E32" s="4"/>
      <c r="F32"/>
      <c r="G32" s="4"/>
      <c r="H32"/>
      <c r="I32"/>
      <c r="J32"/>
      <c r="K32"/>
      <c r="L32"/>
      <c r="M32"/>
      <c r="O32" s="40">
        <f>COUNTIF(E7:E14,"ស្រី")</f>
        <v>4</v>
      </c>
      <c r="P32" s="40"/>
      <c r="Q32" s="40"/>
      <c r="R32" s="40"/>
    </row>
    <row r="33" spans="1:18" s="3" customFormat="1" ht="24">
      <c r="A33"/>
      <c r="B33"/>
      <c r="C33" t="s">
        <v>830</v>
      </c>
      <c r="D33">
        <f>COUNTIF(E7:E19,E19)</f>
        <v>8</v>
      </c>
      <c r="E33" s="4"/>
      <c r="F33"/>
      <c r="G33" s="4"/>
      <c r="H33"/>
      <c r="I33"/>
      <c r="J33"/>
      <c r="K33"/>
      <c r="L33"/>
      <c r="M33"/>
      <c r="O33" s="40"/>
      <c r="P33" s="139"/>
      <c r="Q33" s="139"/>
      <c r="R33" s="139"/>
    </row>
    <row r="34" spans="1:18" s="3" customFormat="1" ht="24">
      <c r="A34"/>
      <c r="B34"/>
      <c r="C34"/>
      <c r="D34"/>
      <c r="E34" s="4"/>
      <c r="F34"/>
      <c r="G34" s="4"/>
      <c r="H34"/>
      <c r="I34"/>
      <c r="J34"/>
      <c r="K34"/>
      <c r="L34"/>
      <c r="M34"/>
      <c r="P34" s="139"/>
      <c r="Q34" s="139"/>
      <c r="R34" s="139"/>
    </row>
    <row r="35" spans="1:18" s="3" customFormat="1" ht="24">
      <c r="A35"/>
      <c r="B35"/>
      <c r="C35"/>
      <c r="D35"/>
      <c r="E35" s="4"/>
      <c r="F35"/>
      <c r="G35" s="4"/>
      <c r="H35"/>
      <c r="I35"/>
      <c r="J35"/>
      <c r="K35"/>
      <c r="L35"/>
      <c r="M35"/>
      <c r="P35" s="139"/>
      <c r="Q35" s="139"/>
      <c r="R35" s="139"/>
    </row>
  </sheetData>
  <mergeCells count="13">
    <mergeCell ref="I1:N1"/>
    <mergeCell ref="I2:N2"/>
    <mergeCell ref="I3:N3"/>
    <mergeCell ref="A4:L4"/>
    <mergeCell ref="A5:L5"/>
    <mergeCell ref="P33:R33"/>
    <mergeCell ref="P34:R34"/>
    <mergeCell ref="P35:R35"/>
    <mergeCell ref="I26:L26"/>
    <mergeCell ref="C27:F27"/>
    <mergeCell ref="I27:L27"/>
    <mergeCell ref="C28:F28"/>
    <mergeCell ref="C29:F2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11"/>
  </sheetPr>
  <dimension ref="A1:R46"/>
  <sheetViews>
    <sheetView topLeftCell="A9" zoomScale="75" zoomScaleNormal="75" workbookViewId="0">
      <selection activeCell="H33" sqref="H33"/>
    </sheetView>
  </sheetViews>
  <sheetFormatPr baseColWidth="10" defaultColWidth="8.6640625" defaultRowHeight="24" customHeight="1"/>
  <cols>
    <col min="1" max="1" width="6" customWidth="1"/>
    <col min="2" max="2" width="7.6640625" customWidth="1"/>
    <col min="3" max="3" width="18.5" customWidth="1"/>
    <col min="4" max="4" width="24.5" customWidth="1"/>
    <col min="5" max="5" width="7.6640625" style="4" customWidth="1"/>
    <col min="6" max="6" width="12.33203125" customWidth="1"/>
    <col min="7" max="7" width="21.6640625" style="4" customWidth="1"/>
    <col min="8" max="8" width="20.33203125" customWidth="1"/>
    <col min="9" max="9" width="21.6640625" customWidth="1"/>
    <col min="10" max="10" width="12.6640625" customWidth="1"/>
    <col min="12" max="13" width="9" customWidth="1"/>
    <col min="15" max="15" width="14.6640625" customWidth="1"/>
  </cols>
  <sheetData>
    <row r="1" spans="1:15" s="1" customFormat="1" ht="25.5" customHeight="1">
      <c r="A1" s="5"/>
      <c r="B1" s="5"/>
      <c r="C1" s="5"/>
      <c r="D1" s="5"/>
      <c r="E1" s="5"/>
      <c r="F1" s="5"/>
      <c r="G1" s="6"/>
      <c r="H1" s="6"/>
      <c r="I1" s="142" t="s">
        <v>0</v>
      </c>
      <c r="J1" s="142"/>
      <c r="K1" s="142"/>
      <c r="L1" s="142"/>
      <c r="M1" s="142"/>
      <c r="N1" s="142"/>
    </row>
    <row r="2" spans="1:15" s="1" customFormat="1" ht="25.5" customHeight="1">
      <c r="A2" s="7" t="s">
        <v>1</v>
      </c>
      <c r="B2" s="8"/>
      <c r="C2" s="5"/>
      <c r="D2" s="5"/>
      <c r="E2" s="5"/>
      <c r="F2" s="5"/>
      <c r="G2" s="6"/>
      <c r="H2" s="6"/>
      <c r="I2" s="142" t="s">
        <v>2</v>
      </c>
      <c r="J2" s="142"/>
      <c r="K2" s="142"/>
      <c r="L2" s="142"/>
      <c r="M2" s="142"/>
      <c r="N2" s="142"/>
    </row>
    <row r="3" spans="1:15" s="1" customFormat="1" ht="26">
      <c r="A3" s="7" t="s">
        <v>3</v>
      </c>
      <c r="B3" s="8"/>
      <c r="C3" s="5"/>
      <c r="D3" s="5"/>
      <c r="E3" s="5"/>
      <c r="F3" s="5"/>
      <c r="G3" s="9"/>
      <c r="H3" s="9"/>
      <c r="I3" s="143">
        <v>323</v>
      </c>
      <c r="J3" s="143"/>
      <c r="K3" s="143"/>
      <c r="L3" s="143"/>
      <c r="M3" s="143"/>
      <c r="N3" s="143"/>
    </row>
    <row r="4" spans="1:15" s="1" customFormat="1" ht="29">
      <c r="A4" s="144" t="s">
        <v>4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0"/>
    </row>
    <row r="5" spans="1:15" s="1" customFormat="1" ht="29.25" customHeight="1">
      <c r="A5" s="145" t="s">
        <v>895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1"/>
    </row>
    <row r="6" spans="1:15" ht="80">
      <c r="A6" s="12" t="s">
        <v>6</v>
      </c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3" t="s">
        <v>13</v>
      </c>
      <c r="I6" s="12" t="s">
        <v>14</v>
      </c>
      <c r="J6" s="12" t="s">
        <v>15</v>
      </c>
      <c r="K6" s="44" t="s">
        <v>16</v>
      </c>
      <c r="L6" s="44" t="s">
        <v>17</v>
      </c>
      <c r="M6" s="44" t="s">
        <v>18</v>
      </c>
      <c r="N6" s="12" t="s">
        <v>19</v>
      </c>
      <c r="O6" s="12" t="s">
        <v>20</v>
      </c>
    </row>
    <row r="7" spans="1:15" ht="29.25" customHeight="1">
      <c r="A7" s="39">
        <v>16</v>
      </c>
      <c r="B7" s="15">
        <v>8156</v>
      </c>
      <c r="C7" s="20" t="s">
        <v>896</v>
      </c>
      <c r="D7" s="23" t="s">
        <v>897</v>
      </c>
      <c r="E7" s="22" t="s">
        <v>23</v>
      </c>
      <c r="F7" s="23" t="s">
        <v>24</v>
      </c>
      <c r="G7" s="24" t="s">
        <v>898</v>
      </c>
      <c r="H7" s="23" t="s">
        <v>899</v>
      </c>
      <c r="I7" s="49" t="s">
        <v>90</v>
      </c>
      <c r="J7" s="50" t="s">
        <v>28</v>
      </c>
      <c r="K7" s="23">
        <v>2019</v>
      </c>
      <c r="L7" s="68"/>
      <c r="M7" s="23">
        <v>9</v>
      </c>
      <c r="N7" s="51"/>
      <c r="O7" s="23" t="s">
        <v>900</v>
      </c>
    </row>
    <row r="8" spans="1:15" ht="29.25" customHeight="1">
      <c r="A8" s="39">
        <v>7</v>
      </c>
      <c r="B8" s="15">
        <v>8157</v>
      </c>
      <c r="C8" s="20" t="s">
        <v>901</v>
      </c>
      <c r="D8" s="21" t="s">
        <v>902</v>
      </c>
      <c r="E8" s="24" t="s">
        <v>23</v>
      </c>
      <c r="F8" s="23" t="s">
        <v>24</v>
      </c>
      <c r="G8" s="24" t="s">
        <v>903</v>
      </c>
      <c r="H8" s="23" t="s">
        <v>904</v>
      </c>
      <c r="I8" s="59" t="s">
        <v>905</v>
      </c>
      <c r="J8" s="50" t="s">
        <v>28</v>
      </c>
      <c r="K8" s="23">
        <v>2019</v>
      </c>
      <c r="L8" s="68"/>
      <c r="M8" s="23">
        <v>1</v>
      </c>
      <c r="N8" s="51"/>
      <c r="O8" s="52" t="s">
        <v>906</v>
      </c>
    </row>
    <row r="9" spans="1:15" ht="29.25" customHeight="1">
      <c r="A9" s="39">
        <v>1</v>
      </c>
      <c r="B9" s="15">
        <v>8158</v>
      </c>
      <c r="C9" s="20" t="s">
        <v>907</v>
      </c>
      <c r="D9" s="21" t="s">
        <v>908</v>
      </c>
      <c r="E9" s="22" t="s">
        <v>23</v>
      </c>
      <c r="F9" s="23" t="s">
        <v>24</v>
      </c>
      <c r="G9" s="24" t="s">
        <v>909</v>
      </c>
      <c r="H9" s="23" t="s">
        <v>910</v>
      </c>
      <c r="I9" s="49" t="s">
        <v>90</v>
      </c>
      <c r="J9" s="50" t="s">
        <v>28</v>
      </c>
      <c r="K9" s="23">
        <v>2019</v>
      </c>
      <c r="L9" s="68"/>
      <c r="M9" s="23">
        <v>33</v>
      </c>
      <c r="N9" s="51"/>
      <c r="O9" s="52" t="s">
        <v>911</v>
      </c>
    </row>
    <row r="10" spans="1:15" ht="29.25" customHeight="1">
      <c r="A10" s="39">
        <v>3</v>
      </c>
      <c r="B10" s="15">
        <v>8159</v>
      </c>
      <c r="C10" s="20" t="s">
        <v>912</v>
      </c>
      <c r="D10" s="21" t="s">
        <v>913</v>
      </c>
      <c r="E10" s="22" t="s">
        <v>23</v>
      </c>
      <c r="F10" s="23" t="s">
        <v>24</v>
      </c>
      <c r="G10" s="24" t="s">
        <v>914</v>
      </c>
      <c r="H10" s="23" t="s">
        <v>915</v>
      </c>
      <c r="I10" s="49" t="s">
        <v>55</v>
      </c>
      <c r="J10" s="50" t="s">
        <v>28</v>
      </c>
      <c r="K10" s="23">
        <v>2019</v>
      </c>
      <c r="L10" s="68"/>
      <c r="M10" s="23">
        <v>14</v>
      </c>
      <c r="N10" s="51"/>
      <c r="O10" s="52" t="s">
        <v>916</v>
      </c>
    </row>
    <row r="11" spans="1:15" ht="29.25" customHeight="1">
      <c r="A11" s="39">
        <v>25</v>
      </c>
      <c r="B11" s="15">
        <v>8160</v>
      </c>
      <c r="C11" s="20" t="s">
        <v>917</v>
      </c>
      <c r="D11" s="23" t="s">
        <v>918</v>
      </c>
      <c r="E11" s="22" t="s">
        <v>23</v>
      </c>
      <c r="F11" s="23" t="s">
        <v>24</v>
      </c>
      <c r="G11" s="24" t="s">
        <v>919</v>
      </c>
      <c r="H11" s="23" t="s">
        <v>920</v>
      </c>
      <c r="I11" s="49" t="s">
        <v>90</v>
      </c>
      <c r="J11" s="50" t="s">
        <v>28</v>
      </c>
      <c r="K11" s="23">
        <v>2019</v>
      </c>
      <c r="L11" s="68"/>
      <c r="M11" s="23">
        <v>11</v>
      </c>
      <c r="N11" s="51"/>
      <c r="O11" s="23" t="s">
        <v>921</v>
      </c>
    </row>
    <row r="12" spans="1:15" ht="29.25" customHeight="1">
      <c r="A12" s="39">
        <v>18</v>
      </c>
      <c r="B12" s="15">
        <v>8161</v>
      </c>
      <c r="C12" s="20" t="s">
        <v>922</v>
      </c>
      <c r="D12" s="23" t="s">
        <v>923</v>
      </c>
      <c r="E12" s="22" t="s">
        <v>33</v>
      </c>
      <c r="F12" s="23" t="s">
        <v>34</v>
      </c>
      <c r="G12" s="24" t="s">
        <v>924</v>
      </c>
      <c r="H12" s="23" t="s">
        <v>925</v>
      </c>
      <c r="I12" s="49" t="s">
        <v>740</v>
      </c>
      <c r="J12" s="50" t="s">
        <v>62</v>
      </c>
      <c r="K12" s="23">
        <v>2019</v>
      </c>
      <c r="L12" s="68"/>
      <c r="M12" s="23">
        <v>45</v>
      </c>
      <c r="N12" s="51"/>
      <c r="O12" s="23" t="s">
        <v>926</v>
      </c>
    </row>
    <row r="13" spans="1:15" ht="29.25" customHeight="1">
      <c r="A13" s="39">
        <v>21</v>
      </c>
      <c r="B13" s="15">
        <v>8162</v>
      </c>
      <c r="C13" s="20" t="s">
        <v>927</v>
      </c>
      <c r="D13" s="23" t="s">
        <v>928</v>
      </c>
      <c r="E13" s="22" t="s">
        <v>33</v>
      </c>
      <c r="F13" s="23" t="s">
        <v>34</v>
      </c>
      <c r="G13" s="24" t="s">
        <v>929</v>
      </c>
      <c r="H13" s="23" t="s">
        <v>930</v>
      </c>
      <c r="I13" s="49" t="s">
        <v>90</v>
      </c>
      <c r="J13" s="50" t="s">
        <v>28</v>
      </c>
      <c r="K13" s="23">
        <v>2019</v>
      </c>
      <c r="L13" s="68"/>
      <c r="M13" s="23">
        <v>32</v>
      </c>
      <c r="N13" s="51"/>
      <c r="O13" s="23" t="s">
        <v>931</v>
      </c>
    </row>
    <row r="14" spans="1:15" ht="29.25" customHeight="1">
      <c r="A14" s="39">
        <v>2</v>
      </c>
      <c r="B14" s="15">
        <v>8163</v>
      </c>
      <c r="C14" s="20" t="s">
        <v>932</v>
      </c>
      <c r="D14" s="21" t="s">
        <v>933</v>
      </c>
      <c r="E14" s="22" t="s">
        <v>33</v>
      </c>
      <c r="F14" s="23" t="s">
        <v>34</v>
      </c>
      <c r="G14" s="24" t="s">
        <v>934</v>
      </c>
      <c r="H14" s="23" t="s">
        <v>935</v>
      </c>
      <c r="I14" s="59" t="s">
        <v>55</v>
      </c>
      <c r="J14" s="50" t="s">
        <v>28</v>
      </c>
      <c r="K14" s="23">
        <v>2019</v>
      </c>
      <c r="L14" s="23"/>
      <c r="M14" s="23">
        <v>21</v>
      </c>
      <c r="N14" s="51"/>
      <c r="O14" s="52" t="s">
        <v>936</v>
      </c>
    </row>
    <row r="15" spans="1:15" ht="29.25" customHeight="1">
      <c r="A15" s="39">
        <v>20</v>
      </c>
      <c r="B15" s="15">
        <v>8164</v>
      </c>
      <c r="C15" s="20" t="s">
        <v>937</v>
      </c>
      <c r="D15" s="23" t="s">
        <v>938</v>
      </c>
      <c r="E15" s="22" t="s">
        <v>33</v>
      </c>
      <c r="F15" s="23" t="s">
        <v>34</v>
      </c>
      <c r="G15" s="24" t="s">
        <v>939</v>
      </c>
      <c r="H15" s="23" t="s">
        <v>940</v>
      </c>
      <c r="I15" s="49" t="s">
        <v>84</v>
      </c>
      <c r="J15" s="50" t="s">
        <v>28</v>
      </c>
      <c r="K15" s="23">
        <v>2019</v>
      </c>
      <c r="L15" s="68"/>
      <c r="M15" s="23">
        <v>23</v>
      </c>
      <c r="N15" s="51"/>
      <c r="O15" s="23" t="s">
        <v>941</v>
      </c>
    </row>
    <row r="16" spans="1:15" ht="29.25" customHeight="1">
      <c r="A16" s="39">
        <v>23</v>
      </c>
      <c r="B16" s="15">
        <v>8165</v>
      </c>
      <c r="C16" s="20" t="s">
        <v>942</v>
      </c>
      <c r="D16" s="23" t="s">
        <v>943</v>
      </c>
      <c r="E16" s="22" t="s">
        <v>33</v>
      </c>
      <c r="F16" s="23" t="s">
        <v>34</v>
      </c>
      <c r="G16" s="24" t="s">
        <v>99</v>
      </c>
      <c r="H16" s="23" t="s">
        <v>100</v>
      </c>
      <c r="I16" s="49" t="s">
        <v>90</v>
      </c>
      <c r="J16" s="50" t="s">
        <v>28</v>
      </c>
      <c r="K16" s="23">
        <v>2019</v>
      </c>
      <c r="L16" s="68"/>
      <c r="M16" s="23">
        <v>20</v>
      </c>
      <c r="N16" s="51"/>
      <c r="O16" s="23" t="s">
        <v>944</v>
      </c>
    </row>
    <row r="17" spans="1:15" ht="29.25" customHeight="1">
      <c r="A17" s="39">
        <v>10</v>
      </c>
      <c r="B17" s="15">
        <v>8166</v>
      </c>
      <c r="C17" s="20" t="s">
        <v>945</v>
      </c>
      <c r="D17" s="21" t="s">
        <v>946</v>
      </c>
      <c r="E17" s="24" t="s">
        <v>33</v>
      </c>
      <c r="F17" s="23" t="s">
        <v>34</v>
      </c>
      <c r="G17" s="66" t="s">
        <v>947</v>
      </c>
      <c r="H17" s="23" t="s">
        <v>948</v>
      </c>
      <c r="I17" s="59" t="s">
        <v>43</v>
      </c>
      <c r="J17" s="50" t="s">
        <v>28</v>
      </c>
      <c r="K17" s="23">
        <v>2019</v>
      </c>
      <c r="L17" s="23"/>
      <c r="M17" s="23">
        <v>10</v>
      </c>
      <c r="N17" s="51"/>
      <c r="O17" s="52" t="s">
        <v>949</v>
      </c>
    </row>
    <row r="18" spans="1:15" ht="29.25" customHeight="1">
      <c r="A18" s="39">
        <v>14</v>
      </c>
      <c r="B18" s="15">
        <v>8167</v>
      </c>
      <c r="C18" s="20" t="s">
        <v>950</v>
      </c>
      <c r="D18" s="23" t="s">
        <v>951</v>
      </c>
      <c r="E18" s="22" t="s">
        <v>33</v>
      </c>
      <c r="F18" s="23" t="s">
        <v>34</v>
      </c>
      <c r="G18" s="24" t="s">
        <v>952</v>
      </c>
      <c r="H18" s="23" t="s">
        <v>953</v>
      </c>
      <c r="I18" s="49" t="s">
        <v>37</v>
      </c>
      <c r="J18" s="50" t="s">
        <v>28</v>
      </c>
      <c r="K18" s="23">
        <v>2019</v>
      </c>
      <c r="L18" s="68"/>
      <c r="M18" s="23">
        <v>2</v>
      </c>
      <c r="N18" s="51"/>
      <c r="O18" s="23" t="s">
        <v>954</v>
      </c>
    </row>
    <row r="19" spans="1:15" ht="29.25" customHeight="1">
      <c r="A19" s="39">
        <v>6</v>
      </c>
      <c r="B19" s="15">
        <v>8168</v>
      </c>
      <c r="C19" s="20" t="s">
        <v>955</v>
      </c>
      <c r="D19" s="21" t="s">
        <v>956</v>
      </c>
      <c r="E19" s="24" t="s">
        <v>23</v>
      </c>
      <c r="F19" s="23" t="s">
        <v>24</v>
      </c>
      <c r="G19" s="24" t="s">
        <v>797</v>
      </c>
      <c r="H19" s="23" t="s">
        <v>798</v>
      </c>
      <c r="I19" s="59" t="s">
        <v>805</v>
      </c>
      <c r="J19" s="50" t="s">
        <v>28</v>
      </c>
      <c r="K19" s="23">
        <v>2019</v>
      </c>
      <c r="L19" s="68"/>
      <c r="M19" s="23">
        <v>37</v>
      </c>
      <c r="N19" s="51"/>
      <c r="O19" s="52" t="s">
        <v>957</v>
      </c>
    </row>
    <row r="20" spans="1:15" ht="29.25" customHeight="1">
      <c r="A20" s="39">
        <v>26</v>
      </c>
      <c r="B20" s="15">
        <v>8169</v>
      </c>
      <c r="C20" s="20" t="s">
        <v>958</v>
      </c>
      <c r="D20" s="23" t="s">
        <v>959</v>
      </c>
      <c r="E20" s="22" t="s">
        <v>23</v>
      </c>
      <c r="F20" s="23" t="s">
        <v>24</v>
      </c>
      <c r="G20" s="24" t="s">
        <v>960</v>
      </c>
      <c r="H20" s="23" t="s">
        <v>961</v>
      </c>
      <c r="I20" s="49" t="s">
        <v>90</v>
      </c>
      <c r="J20" s="50" t="s">
        <v>28</v>
      </c>
      <c r="K20" s="23">
        <v>2019</v>
      </c>
      <c r="L20" s="68"/>
      <c r="M20" s="23">
        <v>15</v>
      </c>
      <c r="N20" s="51"/>
      <c r="O20" s="23" t="s">
        <v>962</v>
      </c>
    </row>
    <row r="21" spans="1:15" ht="29.25" customHeight="1">
      <c r="A21" s="39">
        <v>15</v>
      </c>
      <c r="B21" s="15">
        <v>8170</v>
      </c>
      <c r="C21" s="20" t="s">
        <v>963</v>
      </c>
      <c r="D21" s="23" t="s">
        <v>964</v>
      </c>
      <c r="E21" s="22" t="s">
        <v>23</v>
      </c>
      <c r="F21" s="23" t="s">
        <v>24</v>
      </c>
      <c r="G21" s="24" t="s">
        <v>965</v>
      </c>
      <c r="H21" s="23" t="s">
        <v>966</v>
      </c>
      <c r="I21" s="49" t="s">
        <v>90</v>
      </c>
      <c r="J21" s="50" t="s">
        <v>28</v>
      </c>
      <c r="K21" s="23">
        <v>2019</v>
      </c>
      <c r="L21" s="68"/>
      <c r="M21" s="23">
        <v>41</v>
      </c>
      <c r="N21" s="51"/>
      <c r="O21" s="23" t="s">
        <v>967</v>
      </c>
    </row>
    <row r="22" spans="1:15" ht="29.25" customHeight="1">
      <c r="A22" s="39">
        <v>19</v>
      </c>
      <c r="B22" s="15">
        <v>8171</v>
      </c>
      <c r="C22" s="20" t="s">
        <v>968</v>
      </c>
      <c r="D22" s="23" t="s">
        <v>98</v>
      </c>
      <c r="E22" s="22" t="s">
        <v>23</v>
      </c>
      <c r="F22" s="23" t="s">
        <v>24</v>
      </c>
      <c r="G22" s="24" t="s">
        <v>969</v>
      </c>
      <c r="H22" s="23" t="s">
        <v>970</v>
      </c>
      <c r="I22" s="49" t="s">
        <v>90</v>
      </c>
      <c r="J22" s="50" t="s">
        <v>28</v>
      </c>
      <c r="K22" s="23">
        <v>2019</v>
      </c>
      <c r="L22" s="68"/>
      <c r="M22" s="23">
        <v>16</v>
      </c>
      <c r="N22" s="51"/>
      <c r="O22" s="23" t="s">
        <v>971</v>
      </c>
    </row>
    <row r="23" spans="1:15" ht="29.25" customHeight="1">
      <c r="A23" s="39">
        <v>17</v>
      </c>
      <c r="B23" s="15">
        <v>8172</v>
      </c>
      <c r="C23" s="20" t="s">
        <v>972</v>
      </c>
      <c r="D23" s="23" t="s">
        <v>973</v>
      </c>
      <c r="E23" s="22" t="s">
        <v>33</v>
      </c>
      <c r="F23" s="23" t="s">
        <v>34</v>
      </c>
      <c r="G23" s="24" t="s">
        <v>974</v>
      </c>
      <c r="H23" s="23" t="s">
        <v>975</v>
      </c>
      <c r="I23" s="49" t="s">
        <v>90</v>
      </c>
      <c r="J23" s="50" t="s">
        <v>28</v>
      </c>
      <c r="K23" s="23">
        <v>2019</v>
      </c>
      <c r="L23" s="68"/>
      <c r="M23" s="23">
        <v>44</v>
      </c>
      <c r="N23" s="51"/>
      <c r="O23" s="23" t="s">
        <v>976</v>
      </c>
    </row>
    <row r="24" spans="1:15" ht="29.25" customHeight="1">
      <c r="A24" s="39">
        <v>5</v>
      </c>
      <c r="B24" s="15">
        <v>8173</v>
      </c>
      <c r="C24" s="20" t="s">
        <v>977</v>
      </c>
      <c r="D24" s="21" t="s">
        <v>978</v>
      </c>
      <c r="E24" s="22" t="s">
        <v>23</v>
      </c>
      <c r="F24" s="23" t="s">
        <v>24</v>
      </c>
      <c r="G24" s="24" t="s">
        <v>707</v>
      </c>
      <c r="H24" s="23" t="s">
        <v>708</v>
      </c>
      <c r="I24" s="59" t="s">
        <v>90</v>
      </c>
      <c r="J24" s="50" t="s">
        <v>28</v>
      </c>
      <c r="K24" s="23">
        <v>2019</v>
      </c>
      <c r="L24" s="68"/>
      <c r="M24" s="23">
        <v>27</v>
      </c>
      <c r="N24" s="51"/>
      <c r="O24" s="52" t="s">
        <v>979</v>
      </c>
    </row>
    <row r="25" spans="1:15" ht="29.25" customHeight="1">
      <c r="A25" s="39">
        <v>9</v>
      </c>
      <c r="B25" s="15">
        <v>8174</v>
      </c>
      <c r="C25" s="20" t="s">
        <v>980</v>
      </c>
      <c r="D25" s="21" t="s">
        <v>981</v>
      </c>
      <c r="E25" s="24" t="s">
        <v>23</v>
      </c>
      <c r="F25" s="23" t="s">
        <v>24</v>
      </c>
      <c r="G25" s="24" t="s">
        <v>982</v>
      </c>
      <c r="H25" s="23" t="s">
        <v>983</v>
      </c>
      <c r="I25" s="49" t="s">
        <v>111</v>
      </c>
      <c r="J25" s="50" t="s">
        <v>28</v>
      </c>
      <c r="K25" s="23">
        <v>2019</v>
      </c>
      <c r="L25" s="54"/>
      <c r="M25" s="55">
        <v>39</v>
      </c>
      <c r="N25" s="51"/>
      <c r="O25" s="52" t="s">
        <v>984</v>
      </c>
    </row>
    <row r="26" spans="1:15" ht="29.25" customHeight="1">
      <c r="A26" s="39">
        <v>24</v>
      </c>
      <c r="B26" s="15">
        <v>8175</v>
      </c>
      <c r="C26" s="20" t="s">
        <v>985</v>
      </c>
      <c r="D26" s="23" t="s">
        <v>986</v>
      </c>
      <c r="E26" s="22" t="s">
        <v>33</v>
      </c>
      <c r="F26" s="23" t="s">
        <v>34</v>
      </c>
      <c r="G26" s="24" t="s">
        <v>987</v>
      </c>
      <c r="H26" s="23" t="s">
        <v>424</v>
      </c>
      <c r="I26" s="49" t="s">
        <v>90</v>
      </c>
      <c r="J26" s="50" t="s">
        <v>28</v>
      </c>
      <c r="K26" s="23">
        <v>2019</v>
      </c>
      <c r="L26" s="68"/>
      <c r="M26" s="23">
        <v>11</v>
      </c>
      <c r="N26" s="51"/>
      <c r="O26" s="23" t="s">
        <v>988</v>
      </c>
    </row>
    <row r="27" spans="1:15" ht="29.25" customHeight="1">
      <c r="A27" s="39">
        <v>8</v>
      </c>
      <c r="B27" s="15">
        <v>8176</v>
      </c>
      <c r="C27" s="20" t="s">
        <v>989</v>
      </c>
      <c r="D27" s="21" t="s">
        <v>990</v>
      </c>
      <c r="E27" s="22" t="s">
        <v>33</v>
      </c>
      <c r="F27" s="23" t="s">
        <v>34</v>
      </c>
      <c r="G27" s="24" t="s">
        <v>991</v>
      </c>
      <c r="H27" s="23" t="s">
        <v>992</v>
      </c>
      <c r="I27" s="59" t="s">
        <v>993</v>
      </c>
      <c r="J27" s="50" t="s">
        <v>994</v>
      </c>
      <c r="K27" s="23">
        <v>2019</v>
      </c>
      <c r="L27" s="68"/>
      <c r="M27" s="23">
        <v>5</v>
      </c>
      <c r="N27" s="51"/>
      <c r="O27" s="52" t="s">
        <v>995</v>
      </c>
    </row>
    <row r="28" spans="1:15" ht="29.25" customHeight="1">
      <c r="A28" s="39">
        <v>4</v>
      </c>
      <c r="B28" s="15">
        <v>8177</v>
      </c>
      <c r="C28" s="20" t="s">
        <v>996</v>
      </c>
      <c r="D28" s="21" t="s">
        <v>997</v>
      </c>
      <c r="E28" s="22" t="s">
        <v>33</v>
      </c>
      <c r="F28" s="23" t="s">
        <v>34</v>
      </c>
      <c r="G28" s="24" t="s">
        <v>998</v>
      </c>
      <c r="H28" s="23" t="s">
        <v>999</v>
      </c>
      <c r="I28" s="59" t="s">
        <v>43</v>
      </c>
      <c r="J28" s="50" t="s">
        <v>28</v>
      </c>
      <c r="K28" s="23">
        <v>2019</v>
      </c>
      <c r="L28" s="68"/>
      <c r="M28" s="23">
        <v>29</v>
      </c>
      <c r="N28" s="51"/>
      <c r="O28" s="52" t="s">
        <v>1000</v>
      </c>
    </row>
    <row r="29" spans="1:15" ht="29.25" customHeight="1">
      <c r="A29" s="39">
        <v>11</v>
      </c>
      <c r="B29" s="15">
        <v>8178</v>
      </c>
      <c r="C29" s="20" t="s">
        <v>1001</v>
      </c>
      <c r="D29" s="21" t="s">
        <v>1002</v>
      </c>
      <c r="E29" s="22" t="s">
        <v>33</v>
      </c>
      <c r="F29" s="23" t="s">
        <v>34</v>
      </c>
      <c r="G29" s="24" t="s">
        <v>1003</v>
      </c>
      <c r="H29" s="23" t="s">
        <v>1004</v>
      </c>
      <c r="I29" s="49" t="s">
        <v>90</v>
      </c>
      <c r="J29" s="50" t="s">
        <v>28</v>
      </c>
      <c r="K29" s="23">
        <v>2019</v>
      </c>
      <c r="L29" s="68"/>
      <c r="M29" s="23">
        <v>40</v>
      </c>
      <c r="N29" s="51"/>
      <c r="O29" s="52" t="s">
        <v>1005</v>
      </c>
    </row>
    <row r="30" spans="1:15" ht="29.25" customHeight="1">
      <c r="A30" s="39">
        <v>22</v>
      </c>
      <c r="B30" s="15">
        <v>8179</v>
      </c>
      <c r="C30" s="20" t="s">
        <v>1006</v>
      </c>
      <c r="D30" s="23" t="s">
        <v>1007</v>
      </c>
      <c r="E30" s="22" t="s">
        <v>33</v>
      </c>
      <c r="F30" s="23" t="s">
        <v>34</v>
      </c>
      <c r="G30" s="24" t="s">
        <v>1008</v>
      </c>
      <c r="H30" s="23" t="s">
        <v>1009</v>
      </c>
      <c r="I30" s="49" t="s">
        <v>90</v>
      </c>
      <c r="J30" s="50" t="s">
        <v>28</v>
      </c>
      <c r="K30" s="23">
        <v>2019</v>
      </c>
      <c r="L30" s="68"/>
      <c r="M30" s="23">
        <v>8</v>
      </c>
      <c r="N30" s="51"/>
      <c r="O30" s="23" t="s">
        <v>1010</v>
      </c>
    </row>
    <row r="31" spans="1:15" ht="29.25" customHeight="1">
      <c r="A31" s="39">
        <v>27</v>
      </c>
      <c r="B31" s="37"/>
      <c r="C31" s="20"/>
      <c r="D31" s="21"/>
      <c r="E31" s="22"/>
      <c r="F31" s="23"/>
      <c r="G31" s="24"/>
      <c r="H31" s="73"/>
      <c r="I31" s="49"/>
      <c r="J31" s="50"/>
      <c r="K31" s="23"/>
      <c r="L31" s="68"/>
      <c r="M31" s="23"/>
      <c r="N31" s="51"/>
      <c r="O31" s="52"/>
    </row>
    <row r="32" spans="1:15" ht="29.25" customHeight="1">
      <c r="A32" s="39">
        <v>28</v>
      </c>
      <c r="B32" s="37"/>
      <c r="C32" s="20"/>
      <c r="D32" s="21"/>
      <c r="E32" s="22"/>
      <c r="F32" s="23"/>
      <c r="G32" s="24"/>
      <c r="H32" s="73"/>
      <c r="I32" s="49"/>
      <c r="J32" s="50"/>
      <c r="K32" s="23"/>
      <c r="L32" s="68"/>
      <c r="M32" s="23"/>
      <c r="N32" s="51"/>
      <c r="O32" s="52"/>
    </row>
    <row r="33" spans="1:18" ht="29.25" customHeight="1">
      <c r="A33" s="39">
        <v>29</v>
      </c>
      <c r="B33" s="37"/>
      <c r="C33" s="20"/>
      <c r="D33" s="65"/>
      <c r="E33" s="24"/>
      <c r="F33" s="22"/>
      <c r="G33" s="24"/>
      <c r="H33" s="73"/>
      <c r="I33" s="49"/>
      <c r="J33" s="58"/>
      <c r="K33" s="23"/>
      <c r="L33" s="68"/>
      <c r="M33" s="23"/>
      <c r="N33" s="51"/>
      <c r="O33" s="52"/>
    </row>
    <row r="34" spans="1:18" ht="29.25" customHeight="1">
      <c r="A34" s="39">
        <v>30</v>
      </c>
      <c r="B34" s="37"/>
      <c r="C34" s="20"/>
      <c r="D34" s="20"/>
      <c r="E34" s="22"/>
      <c r="F34" s="23"/>
      <c r="G34" s="24"/>
      <c r="H34" s="73"/>
      <c r="I34" s="49"/>
      <c r="J34" s="50"/>
      <c r="K34" s="23"/>
      <c r="L34" s="68"/>
      <c r="M34" s="23"/>
      <c r="N34" s="51"/>
      <c r="O34" s="52"/>
    </row>
    <row r="35" spans="1:18" ht="29.25" customHeight="1">
      <c r="A35" s="39">
        <v>40</v>
      </c>
      <c r="B35" s="37"/>
      <c r="C35" s="20"/>
      <c r="D35" s="21"/>
      <c r="E35" s="22"/>
      <c r="F35" s="23"/>
      <c r="G35" s="24"/>
      <c r="H35" s="73"/>
      <c r="I35" s="59"/>
      <c r="J35" s="50"/>
      <c r="K35" s="23"/>
      <c r="L35" s="68"/>
      <c r="M35" s="23"/>
      <c r="N35" s="51"/>
      <c r="O35" s="52"/>
    </row>
    <row r="36" spans="1:18" ht="24" customHeight="1">
      <c r="A36" s="40" t="s">
        <v>173</v>
      </c>
      <c r="B36" s="3"/>
      <c r="C36" s="3"/>
      <c r="D36" s="3"/>
      <c r="E36" s="3"/>
      <c r="F36" s="3"/>
      <c r="G36" s="3"/>
      <c r="I36" s="60" t="s">
        <v>174</v>
      </c>
      <c r="J36" s="60"/>
      <c r="K36" s="60"/>
      <c r="L36" s="60"/>
      <c r="M36" s="3"/>
      <c r="N36">
        <f>COUNTIF(E5:E35,"ស្រី")</f>
        <v>13</v>
      </c>
    </row>
    <row r="37" spans="1:18" ht="24" customHeight="1">
      <c r="A37" s="3"/>
      <c r="B37" s="3"/>
      <c r="C37" s="3"/>
      <c r="D37" s="3"/>
      <c r="E37" s="3"/>
      <c r="F37" s="40"/>
      <c r="G37" s="40"/>
      <c r="H37" s="40"/>
      <c r="I37" s="140" t="s">
        <v>175</v>
      </c>
      <c r="J37" s="140"/>
      <c r="K37" s="140"/>
      <c r="L37" s="140"/>
      <c r="M37" s="61"/>
    </row>
    <row r="38" spans="1:18" ht="24" customHeight="1">
      <c r="A38" s="41"/>
      <c r="B38" s="41"/>
      <c r="C38" s="141" t="s">
        <v>176</v>
      </c>
      <c r="D38" s="141"/>
      <c r="E38" s="141"/>
      <c r="F38" s="141"/>
      <c r="G38" s="43"/>
      <c r="H38" s="43"/>
      <c r="I38" s="141" t="s">
        <v>177</v>
      </c>
      <c r="J38" s="141"/>
      <c r="K38" s="141"/>
      <c r="L38" s="141"/>
      <c r="M38" s="42"/>
      <c r="N38" s="62"/>
    </row>
    <row r="39" spans="1:18" ht="24" customHeight="1">
      <c r="A39" s="41"/>
      <c r="B39" s="41"/>
      <c r="C39" s="139" t="s">
        <v>178</v>
      </c>
      <c r="D39" s="139"/>
      <c r="E39" s="139"/>
      <c r="F39" s="139"/>
      <c r="G39" s="3"/>
      <c r="H39" s="3"/>
      <c r="I39" s="3"/>
      <c r="J39" s="3"/>
      <c r="K39" s="3"/>
      <c r="L39" s="3"/>
      <c r="M39" s="3"/>
    </row>
    <row r="40" spans="1:18" ht="24" customHeight="1">
      <c r="A40" s="41"/>
      <c r="B40" s="41"/>
      <c r="C40" s="141" t="s">
        <v>179</v>
      </c>
      <c r="D40" s="141"/>
      <c r="E40" s="141"/>
      <c r="F40" s="141"/>
      <c r="G40" s="3"/>
      <c r="H40" s="3"/>
      <c r="I40" s="3"/>
      <c r="J40" s="3"/>
      <c r="K40" s="3"/>
      <c r="L40" s="3"/>
      <c r="M40" s="3"/>
    </row>
    <row r="42" spans="1:18" s="3" customFormat="1">
      <c r="A42"/>
      <c r="B42"/>
      <c r="C42" t="s">
        <v>829</v>
      </c>
      <c r="D42">
        <f>COUNTA(C7:C30)</f>
        <v>24</v>
      </c>
      <c r="E42" s="4"/>
      <c r="F42"/>
      <c r="G42" s="4"/>
      <c r="H42"/>
      <c r="I42"/>
      <c r="J42"/>
      <c r="K42"/>
      <c r="L42"/>
      <c r="M42"/>
    </row>
    <row r="43" spans="1:18" s="3" customFormat="1">
      <c r="A43"/>
      <c r="B43"/>
      <c r="C43" t="s">
        <v>1011</v>
      </c>
      <c r="D43">
        <f>COUNTIF(E7:E30,E28)</f>
        <v>13</v>
      </c>
      <c r="E43" s="4"/>
      <c r="F43"/>
      <c r="G43" s="4"/>
      <c r="H43"/>
      <c r="I43"/>
      <c r="J43"/>
      <c r="K43"/>
      <c r="L43"/>
      <c r="M43"/>
      <c r="O43" s="40">
        <f>COUNTIF(E7:E15,"ស្រី")</f>
        <v>4</v>
      </c>
      <c r="P43" s="40"/>
      <c r="Q43" s="40"/>
      <c r="R43" s="40"/>
    </row>
    <row r="44" spans="1:18" s="3" customFormat="1">
      <c r="A44"/>
      <c r="B44"/>
      <c r="C44"/>
      <c r="D44"/>
      <c r="E44" s="4"/>
      <c r="F44"/>
      <c r="G44" s="4"/>
      <c r="H44"/>
      <c r="I44"/>
      <c r="J44"/>
      <c r="K44"/>
      <c r="L44"/>
      <c r="M44"/>
      <c r="O44" s="40"/>
      <c r="P44" s="139"/>
      <c r="Q44" s="139"/>
      <c r="R44" s="139"/>
    </row>
    <row r="45" spans="1:18" s="3" customFormat="1">
      <c r="A45"/>
      <c r="B45"/>
      <c r="C45"/>
      <c r="D45"/>
      <c r="E45" s="4"/>
      <c r="F45"/>
      <c r="G45" s="4"/>
      <c r="H45"/>
      <c r="I45"/>
      <c r="J45"/>
      <c r="K45"/>
      <c r="L45"/>
      <c r="M45"/>
      <c r="P45" s="139"/>
      <c r="Q45" s="139"/>
      <c r="R45" s="139"/>
    </row>
    <row r="46" spans="1:18" s="3" customFormat="1">
      <c r="A46"/>
      <c r="B46"/>
      <c r="C46"/>
      <c r="D46"/>
      <c r="E46" s="4"/>
      <c r="F46"/>
      <c r="G46" s="4"/>
      <c r="H46"/>
      <c r="I46"/>
      <c r="J46"/>
      <c r="K46"/>
      <c r="L46"/>
      <c r="M46"/>
      <c r="P46" s="139"/>
      <c r="Q46" s="139"/>
      <c r="R46" s="139"/>
    </row>
  </sheetData>
  <mergeCells count="13">
    <mergeCell ref="I1:N1"/>
    <mergeCell ref="I2:N2"/>
    <mergeCell ref="I3:N3"/>
    <mergeCell ref="A4:L4"/>
    <mergeCell ref="A5:L5"/>
    <mergeCell ref="P44:R44"/>
    <mergeCell ref="P45:R45"/>
    <mergeCell ref="P46:R46"/>
    <mergeCell ref="I37:L37"/>
    <mergeCell ref="C38:F38"/>
    <mergeCell ref="I38:L38"/>
    <mergeCell ref="C39:F39"/>
    <mergeCell ref="C40:F40"/>
  </mergeCells>
  <printOptions horizontalCentered="1"/>
  <pageMargins left="0.55000000000000004" right="0.35" top="0.57999999999999996" bottom="1" header="0.28999999999999998" footer="0.5"/>
  <pageSetup paperSize="9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1"/>
  </sheetPr>
  <dimension ref="A1:R49"/>
  <sheetViews>
    <sheetView topLeftCell="A19" zoomScale="80" zoomScaleNormal="80" workbookViewId="0">
      <selection activeCell="B7" sqref="B7:B27"/>
    </sheetView>
  </sheetViews>
  <sheetFormatPr baseColWidth="10" defaultColWidth="8.6640625" defaultRowHeight="13"/>
  <cols>
    <col min="1" max="1" width="6" customWidth="1"/>
    <col min="2" max="2" width="7.6640625" customWidth="1"/>
    <col min="3" max="3" width="18.5" customWidth="1"/>
    <col min="4" max="4" width="24.5" customWidth="1"/>
    <col min="5" max="5" width="7.6640625" style="4" customWidth="1"/>
    <col min="6" max="6" width="12.33203125" customWidth="1"/>
    <col min="7" max="7" width="21.6640625" style="4" customWidth="1"/>
    <col min="8" max="8" width="20.33203125" customWidth="1"/>
    <col min="9" max="9" width="21.6640625" customWidth="1"/>
    <col min="10" max="10" width="12.6640625" customWidth="1"/>
    <col min="12" max="13" width="10.5" customWidth="1"/>
    <col min="15" max="15" width="27.6640625" customWidth="1"/>
  </cols>
  <sheetData>
    <row r="1" spans="1:15" s="1" customFormat="1" ht="25.5" customHeight="1">
      <c r="A1" s="5"/>
      <c r="B1" s="5"/>
      <c r="C1" s="5"/>
      <c r="D1" s="5"/>
      <c r="E1" s="5"/>
      <c r="F1" s="5"/>
      <c r="G1" s="6"/>
      <c r="H1" s="6"/>
      <c r="I1" s="142" t="s">
        <v>0</v>
      </c>
      <c r="J1" s="142"/>
      <c r="K1" s="142"/>
      <c r="L1" s="142"/>
      <c r="M1" s="142"/>
      <c r="N1" s="142"/>
    </row>
    <row r="2" spans="1:15" s="1" customFormat="1" ht="25.5" customHeight="1">
      <c r="A2" s="7" t="s">
        <v>1</v>
      </c>
      <c r="B2" s="8"/>
      <c r="C2" s="5"/>
      <c r="D2" s="5"/>
      <c r="E2" s="5"/>
      <c r="F2" s="5"/>
      <c r="G2" s="6"/>
      <c r="H2" s="6"/>
      <c r="I2" s="142" t="s">
        <v>2</v>
      </c>
      <c r="J2" s="142"/>
      <c r="K2" s="142"/>
      <c r="L2" s="142"/>
      <c r="M2" s="142"/>
      <c r="N2" s="142"/>
    </row>
    <row r="3" spans="1:15" s="1" customFormat="1" ht="26">
      <c r="A3" s="7" t="s">
        <v>3</v>
      </c>
      <c r="B3" s="8"/>
      <c r="C3" s="5"/>
      <c r="D3" s="5"/>
      <c r="E3" s="5"/>
      <c r="F3" s="5"/>
      <c r="G3" s="9"/>
      <c r="H3" s="9"/>
      <c r="I3" s="143">
        <v>323</v>
      </c>
      <c r="J3" s="143"/>
      <c r="K3" s="143"/>
      <c r="L3" s="143"/>
      <c r="M3" s="143"/>
      <c r="N3" s="143"/>
    </row>
    <row r="4" spans="1:15" s="1" customFormat="1" ht="29">
      <c r="A4" s="144" t="s">
        <v>747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0"/>
    </row>
    <row r="5" spans="1:15" s="1" customFormat="1" ht="29.25" customHeight="1">
      <c r="A5" s="145" t="s">
        <v>1012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1"/>
    </row>
    <row r="6" spans="1:15" ht="60">
      <c r="A6" s="12" t="s">
        <v>6</v>
      </c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3" t="s">
        <v>13</v>
      </c>
      <c r="I6" s="12" t="s">
        <v>14</v>
      </c>
      <c r="J6" s="12" t="s">
        <v>15</v>
      </c>
      <c r="K6" s="44" t="s">
        <v>16</v>
      </c>
      <c r="L6" s="44" t="s">
        <v>17</v>
      </c>
      <c r="M6" s="44" t="s">
        <v>18</v>
      </c>
      <c r="N6" s="12" t="s">
        <v>19</v>
      </c>
      <c r="O6" s="12" t="s">
        <v>20</v>
      </c>
    </row>
    <row r="7" spans="1:15" ht="29.25" customHeight="1">
      <c r="A7" s="39">
        <v>8</v>
      </c>
      <c r="B7" s="15">
        <v>8180</v>
      </c>
      <c r="C7" s="20" t="s">
        <v>1013</v>
      </c>
      <c r="D7" s="21" t="s">
        <v>1014</v>
      </c>
      <c r="E7" s="23" t="s">
        <v>23</v>
      </c>
      <c r="F7" s="23" t="s">
        <v>24</v>
      </c>
      <c r="G7" s="24" t="s">
        <v>1015</v>
      </c>
      <c r="H7" s="23" t="s">
        <v>1016</v>
      </c>
      <c r="I7" s="59" t="s">
        <v>1017</v>
      </c>
      <c r="J7" s="50" t="s">
        <v>28</v>
      </c>
      <c r="K7" s="23">
        <v>2019</v>
      </c>
      <c r="L7" s="23"/>
      <c r="M7" s="23">
        <v>10</v>
      </c>
      <c r="N7" s="51"/>
      <c r="O7" s="23" t="s">
        <v>1018</v>
      </c>
    </row>
    <row r="8" spans="1:15" ht="29.25" customHeight="1">
      <c r="A8" s="39">
        <v>4</v>
      </c>
      <c r="B8" s="15">
        <v>8181</v>
      </c>
      <c r="C8" s="20" t="s">
        <v>1019</v>
      </c>
      <c r="D8" s="21" t="s">
        <v>1020</v>
      </c>
      <c r="E8" s="22" t="s">
        <v>33</v>
      </c>
      <c r="F8" s="63" t="s">
        <v>34</v>
      </c>
      <c r="G8" s="24" t="s">
        <v>1021</v>
      </c>
      <c r="H8" s="63" t="s">
        <v>1022</v>
      </c>
      <c r="I8" s="49" t="s">
        <v>1023</v>
      </c>
      <c r="J8" s="50" t="s">
        <v>261</v>
      </c>
      <c r="K8" s="23">
        <v>2019</v>
      </c>
      <c r="L8" s="68"/>
      <c r="M8" s="69" t="s">
        <v>1024</v>
      </c>
      <c r="N8" s="51"/>
      <c r="O8" s="51" t="s">
        <v>1025</v>
      </c>
    </row>
    <row r="9" spans="1:15" ht="29.25" customHeight="1">
      <c r="A9" s="39">
        <v>9</v>
      </c>
      <c r="B9" s="15">
        <v>8182</v>
      </c>
      <c r="C9" s="20" t="s">
        <v>1026</v>
      </c>
      <c r="D9" s="21" t="s">
        <v>1014</v>
      </c>
      <c r="E9" s="23" t="s">
        <v>33</v>
      </c>
      <c r="F9" s="23" t="s">
        <v>34</v>
      </c>
      <c r="G9" s="24" t="s">
        <v>1027</v>
      </c>
      <c r="H9" s="23" t="s">
        <v>1028</v>
      </c>
      <c r="I9" s="70" t="s">
        <v>1029</v>
      </c>
      <c r="J9" s="50" t="s">
        <v>1030</v>
      </c>
      <c r="K9" s="23">
        <v>2019</v>
      </c>
      <c r="L9" s="68"/>
      <c r="M9" s="23">
        <v>35</v>
      </c>
      <c r="N9" s="51"/>
      <c r="O9" s="23" t="s">
        <v>1031</v>
      </c>
    </row>
    <row r="10" spans="1:15" ht="29.25" customHeight="1">
      <c r="A10" s="39">
        <v>21</v>
      </c>
      <c r="B10" s="15">
        <v>8183</v>
      </c>
      <c r="C10" s="20" t="s">
        <v>1032</v>
      </c>
      <c r="D10" s="21" t="s">
        <v>1033</v>
      </c>
      <c r="E10" s="23" t="s">
        <v>23</v>
      </c>
      <c r="F10" s="23" t="s">
        <v>24</v>
      </c>
      <c r="G10" s="24" t="s">
        <v>1034</v>
      </c>
      <c r="H10" s="64">
        <v>36284</v>
      </c>
      <c r="I10" s="49" t="s">
        <v>90</v>
      </c>
      <c r="J10" s="50" t="s">
        <v>28</v>
      </c>
      <c r="K10" s="23">
        <v>2019</v>
      </c>
      <c r="L10" s="68"/>
      <c r="M10" s="55" t="s">
        <v>1035</v>
      </c>
      <c r="N10" s="51" t="s">
        <v>29</v>
      </c>
      <c r="O10" s="23" t="s">
        <v>1036</v>
      </c>
    </row>
    <row r="11" spans="1:15" ht="29.25" customHeight="1">
      <c r="A11" s="39">
        <v>5</v>
      </c>
      <c r="B11" s="15">
        <v>8184</v>
      </c>
      <c r="C11" s="20" t="s">
        <v>1037</v>
      </c>
      <c r="D11" s="65" t="s">
        <v>1038</v>
      </c>
      <c r="E11" s="24" t="s">
        <v>33</v>
      </c>
      <c r="F11" s="63" t="s">
        <v>34</v>
      </c>
      <c r="G11" s="24" t="s">
        <v>41</v>
      </c>
      <c r="H11" s="63" t="s">
        <v>1039</v>
      </c>
      <c r="I11" s="59" t="s">
        <v>49</v>
      </c>
      <c r="J11" s="50" t="s">
        <v>28</v>
      </c>
      <c r="K11" s="23">
        <v>2019</v>
      </c>
      <c r="L11" s="68"/>
      <c r="M11" s="69" t="s">
        <v>1040</v>
      </c>
      <c r="N11" t="s">
        <v>29</v>
      </c>
      <c r="O11" s="52" t="s">
        <v>1041</v>
      </c>
    </row>
    <row r="12" spans="1:15" ht="29.25" customHeight="1">
      <c r="A12" s="39">
        <v>10</v>
      </c>
      <c r="B12" s="15">
        <v>8185</v>
      </c>
      <c r="C12" s="20" t="s">
        <v>1042</v>
      </c>
      <c r="D12" s="21" t="s">
        <v>1014</v>
      </c>
      <c r="E12" s="23" t="s">
        <v>33</v>
      </c>
      <c r="F12" s="23" t="s">
        <v>34</v>
      </c>
      <c r="G12" s="24" t="s">
        <v>1043</v>
      </c>
      <c r="H12" s="23" t="s">
        <v>1044</v>
      </c>
      <c r="I12" s="49" t="s">
        <v>133</v>
      </c>
      <c r="J12" s="50" t="s">
        <v>28</v>
      </c>
      <c r="K12" s="23">
        <v>2019</v>
      </c>
      <c r="L12" s="68"/>
      <c r="M12" s="55">
        <v>2</v>
      </c>
      <c r="O12" s="23" t="s">
        <v>1045</v>
      </c>
    </row>
    <row r="13" spans="1:15" ht="29.25" customHeight="1">
      <c r="A13" s="39">
        <v>11</v>
      </c>
      <c r="B13" s="15">
        <v>8186</v>
      </c>
      <c r="C13" s="20" t="s">
        <v>1046</v>
      </c>
      <c r="D13" s="21" t="s">
        <v>1014</v>
      </c>
      <c r="E13" s="23" t="s">
        <v>33</v>
      </c>
      <c r="F13" s="23" t="s">
        <v>34</v>
      </c>
      <c r="G13" s="24" t="s">
        <v>702</v>
      </c>
      <c r="H13" s="23" t="s">
        <v>703</v>
      </c>
      <c r="I13" s="49" t="s">
        <v>1047</v>
      </c>
      <c r="J13" s="50" t="s">
        <v>28</v>
      </c>
      <c r="K13" s="23">
        <v>2019</v>
      </c>
      <c r="L13" s="69"/>
      <c r="M13" s="55">
        <v>21</v>
      </c>
      <c r="O13" s="23" t="s">
        <v>1048</v>
      </c>
    </row>
    <row r="14" spans="1:15" ht="29.25" customHeight="1">
      <c r="A14" s="39">
        <v>12</v>
      </c>
      <c r="B14" s="15">
        <v>8187</v>
      </c>
      <c r="C14" s="20" t="s">
        <v>1049</v>
      </c>
      <c r="D14" s="21" t="s">
        <v>1014</v>
      </c>
      <c r="E14" s="23" t="s">
        <v>23</v>
      </c>
      <c r="F14" s="23" t="s">
        <v>24</v>
      </c>
      <c r="G14" s="24" t="s">
        <v>1050</v>
      </c>
      <c r="H14" s="23" t="s">
        <v>1051</v>
      </c>
      <c r="I14" s="59" t="s">
        <v>49</v>
      </c>
      <c r="J14" s="50" t="s">
        <v>28</v>
      </c>
      <c r="K14" s="23">
        <v>2019</v>
      </c>
      <c r="L14" s="23"/>
      <c r="M14" s="23">
        <v>23</v>
      </c>
      <c r="N14" s="51"/>
      <c r="O14" s="23" t="s">
        <v>1052</v>
      </c>
    </row>
    <row r="15" spans="1:15" ht="29.25" customHeight="1">
      <c r="A15" s="39">
        <v>13</v>
      </c>
      <c r="B15" s="15">
        <v>8188</v>
      </c>
      <c r="C15" s="20" t="s">
        <v>1053</v>
      </c>
      <c r="D15" s="21" t="s">
        <v>1054</v>
      </c>
      <c r="E15" s="23" t="s">
        <v>23</v>
      </c>
      <c r="F15" s="23" t="s">
        <v>24</v>
      </c>
      <c r="G15" s="24" t="s">
        <v>599</v>
      </c>
      <c r="H15" s="23" t="s">
        <v>600</v>
      </c>
      <c r="I15" s="49" t="s">
        <v>260</v>
      </c>
      <c r="J15" s="50" t="s">
        <v>28</v>
      </c>
      <c r="K15" s="23">
        <v>2019</v>
      </c>
      <c r="L15" s="68"/>
      <c r="M15" s="55">
        <v>52</v>
      </c>
      <c r="N15" s="51"/>
      <c r="O15" s="23" t="s">
        <v>1055</v>
      </c>
    </row>
    <row r="16" spans="1:15" ht="29.25" customHeight="1">
      <c r="A16" s="39">
        <v>14</v>
      </c>
      <c r="B16" s="15">
        <v>8189</v>
      </c>
      <c r="C16" s="20" t="s">
        <v>1056</v>
      </c>
      <c r="D16" s="28" t="s">
        <v>1057</v>
      </c>
      <c r="E16" s="23" t="s">
        <v>33</v>
      </c>
      <c r="F16" s="23" t="s">
        <v>34</v>
      </c>
      <c r="G16" s="24" t="s">
        <v>264</v>
      </c>
      <c r="H16" s="23" t="s">
        <v>1058</v>
      </c>
      <c r="I16" s="59" t="s">
        <v>740</v>
      </c>
      <c r="J16" s="50" t="s">
        <v>62</v>
      </c>
      <c r="K16" s="23">
        <v>2019</v>
      </c>
      <c r="L16" s="23"/>
      <c r="M16" s="23">
        <v>31</v>
      </c>
      <c r="N16" s="51"/>
      <c r="O16" s="23" t="s">
        <v>1059</v>
      </c>
    </row>
    <row r="17" spans="1:15" ht="29.25" customHeight="1">
      <c r="A17" s="39">
        <v>7</v>
      </c>
      <c r="B17" s="15">
        <v>8190</v>
      </c>
      <c r="C17" s="20" t="s">
        <v>1060</v>
      </c>
      <c r="D17" s="21" t="s">
        <v>1061</v>
      </c>
      <c r="E17" s="22" t="s">
        <v>23</v>
      </c>
      <c r="F17" s="63" t="s">
        <v>24</v>
      </c>
      <c r="G17" s="24" t="s">
        <v>249</v>
      </c>
      <c r="H17" s="63" t="s">
        <v>250</v>
      </c>
      <c r="I17" s="49" t="s">
        <v>37</v>
      </c>
      <c r="J17" s="50" t="s">
        <v>28</v>
      </c>
      <c r="K17" s="23">
        <v>2019</v>
      </c>
      <c r="L17" s="68"/>
      <c r="M17" s="23"/>
      <c r="N17" s="51" t="s">
        <v>29</v>
      </c>
      <c r="O17" s="51" t="s">
        <v>1062</v>
      </c>
    </row>
    <row r="18" spans="1:15" ht="29.25" customHeight="1">
      <c r="A18" s="39">
        <v>15</v>
      </c>
      <c r="B18" s="15">
        <v>8191</v>
      </c>
      <c r="C18" s="20" t="s">
        <v>1063</v>
      </c>
      <c r="D18" s="21" t="s">
        <v>1064</v>
      </c>
      <c r="E18" s="23" t="s">
        <v>33</v>
      </c>
      <c r="F18" s="23" t="s">
        <v>34</v>
      </c>
      <c r="G18" s="24" t="s">
        <v>1065</v>
      </c>
      <c r="H18" s="23" t="s">
        <v>1066</v>
      </c>
      <c r="I18" s="59" t="s">
        <v>1067</v>
      </c>
      <c r="J18" s="50" t="s">
        <v>75</v>
      </c>
      <c r="K18" s="23">
        <v>2019</v>
      </c>
      <c r="L18" s="23"/>
      <c r="M18" s="23">
        <v>27</v>
      </c>
      <c r="N18" s="51"/>
      <c r="O18" s="23" t="s">
        <v>1068</v>
      </c>
    </row>
    <row r="19" spans="1:15" ht="29.25" customHeight="1">
      <c r="A19" s="39">
        <v>2</v>
      </c>
      <c r="B19" s="15">
        <v>8192</v>
      </c>
      <c r="C19" s="20" t="s">
        <v>1069</v>
      </c>
      <c r="D19" s="65" t="s">
        <v>1070</v>
      </c>
      <c r="E19" s="24" t="s">
        <v>33</v>
      </c>
      <c r="F19" s="63" t="s">
        <v>34</v>
      </c>
      <c r="G19" s="66" t="s">
        <v>1071</v>
      </c>
      <c r="H19" s="63" t="s">
        <v>1072</v>
      </c>
      <c r="I19" s="59" t="s">
        <v>489</v>
      </c>
      <c r="J19" s="50" t="s">
        <v>28</v>
      </c>
      <c r="K19" s="23">
        <v>2019</v>
      </c>
      <c r="L19" s="69"/>
      <c r="M19" s="69" t="s">
        <v>1073</v>
      </c>
      <c r="N19" s="51"/>
      <c r="O19" s="51" t="s">
        <v>1074</v>
      </c>
    </row>
    <row r="20" spans="1:15" ht="29.25" customHeight="1">
      <c r="A20" s="39">
        <v>16</v>
      </c>
      <c r="B20" s="15">
        <v>8193</v>
      </c>
      <c r="C20" s="20" t="s">
        <v>1075</v>
      </c>
      <c r="D20" s="65" t="s">
        <v>1076</v>
      </c>
      <c r="E20" s="23" t="s">
        <v>33</v>
      </c>
      <c r="F20" s="23" t="s">
        <v>34</v>
      </c>
      <c r="G20" s="66" t="s">
        <v>1077</v>
      </c>
      <c r="H20" s="23" t="s">
        <v>1078</v>
      </c>
      <c r="I20" s="59" t="s">
        <v>1079</v>
      </c>
      <c r="J20" s="50" t="s">
        <v>28</v>
      </c>
      <c r="K20" s="23">
        <v>2019</v>
      </c>
      <c r="L20" s="23"/>
      <c r="M20" s="23">
        <v>36</v>
      </c>
      <c r="N20" s="51"/>
      <c r="O20" s="23" t="s">
        <v>1080</v>
      </c>
    </row>
    <row r="21" spans="1:15" ht="29.25" customHeight="1">
      <c r="A21" s="39">
        <v>6</v>
      </c>
      <c r="B21" s="15">
        <v>8194</v>
      </c>
      <c r="C21" s="20" t="s">
        <v>1081</v>
      </c>
      <c r="D21" s="21" t="s">
        <v>1082</v>
      </c>
      <c r="E21" s="22" t="s">
        <v>33</v>
      </c>
      <c r="F21" s="63" t="s">
        <v>34</v>
      </c>
      <c r="G21" s="24" t="s">
        <v>1083</v>
      </c>
      <c r="H21" s="63" t="s">
        <v>1084</v>
      </c>
      <c r="I21" s="49" t="s">
        <v>1085</v>
      </c>
      <c r="J21" s="50" t="s">
        <v>75</v>
      </c>
      <c r="K21" s="23">
        <v>2019</v>
      </c>
      <c r="L21" s="68"/>
      <c r="M21" s="69" t="s">
        <v>1086</v>
      </c>
      <c r="N21" s="51" t="s">
        <v>29</v>
      </c>
      <c r="O21" s="51" t="s">
        <v>1087</v>
      </c>
    </row>
    <row r="22" spans="1:15" ht="29.25" customHeight="1">
      <c r="A22" s="39">
        <v>3</v>
      </c>
      <c r="B22" s="15">
        <v>8195</v>
      </c>
      <c r="C22" s="20" t="s">
        <v>1088</v>
      </c>
      <c r="D22" s="28" t="s">
        <v>1089</v>
      </c>
      <c r="E22" s="24" t="s">
        <v>33</v>
      </c>
      <c r="F22" s="63" t="s">
        <v>34</v>
      </c>
      <c r="G22" s="24" t="s">
        <v>1090</v>
      </c>
      <c r="H22" s="63" t="s">
        <v>1091</v>
      </c>
      <c r="I22" s="59" t="s">
        <v>127</v>
      </c>
      <c r="J22" s="50" t="s">
        <v>28</v>
      </c>
      <c r="K22" s="23">
        <v>2019</v>
      </c>
      <c r="L22" s="23"/>
      <c r="M22" s="69" t="s">
        <v>1092</v>
      </c>
      <c r="N22" s="51"/>
      <c r="O22" s="51" t="s">
        <v>1093</v>
      </c>
    </row>
    <row r="23" spans="1:15" ht="29.25" customHeight="1">
      <c r="A23" s="39">
        <v>17</v>
      </c>
      <c r="B23" s="15">
        <v>8196</v>
      </c>
      <c r="C23" s="20" t="s">
        <v>1094</v>
      </c>
      <c r="D23" s="21" t="s">
        <v>1095</v>
      </c>
      <c r="E23" s="23" t="s">
        <v>33</v>
      </c>
      <c r="F23" s="23" t="s">
        <v>34</v>
      </c>
      <c r="G23" s="24" t="s">
        <v>1096</v>
      </c>
      <c r="H23" s="23" t="s">
        <v>1097</v>
      </c>
      <c r="I23" s="59" t="s">
        <v>1079</v>
      </c>
      <c r="J23" s="50" t="s">
        <v>28</v>
      </c>
      <c r="K23" s="23">
        <v>2019</v>
      </c>
      <c r="L23" s="71"/>
      <c r="M23" s="55">
        <v>27</v>
      </c>
      <c r="N23" s="51" t="s">
        <v>29</v>
      </c>
      <c r="O23" s="23"/>
    </row>
    <row r="24" spans="1:15" ht="29.25" customHeight="1">
      <c r="A24" s="39">
        <v>18</v>
      </c>
      <c r="B24" s="15">
        <v>8197</v>
      </c>
      <c r="C24" s="20" t="s">
        <v>1098</v>
      </c>
      <c r="D24" s="21" t="s">
        <v>1099</v>
      </c>
      <c r="E24" s="23" t="s">
        <v>33</v>
      </c>
      <c r="F24" s="23" t="s">
        <v>34</v>
      </c>
      <c r="G24" s="24" t="s">
        <v>1100</v>
      </c>
      <c r="H24" s="23" t="s">
        <v>1101</v>
      </c>
      <c r="I24" s="59" t="s">
        <v>43</v>
      </c>
      <c r="J24" s="50" t="s">
        <v>28</v>
      </c>
      <c r="K24" s="23">
        <v>2019</v>
      </c>
      <c r="L24" s="23"/>
      <c r="M24" s="23">
        <v>57</v>
      </c>
      <c r="N24" s="51"/>
      <c r="O24" s="23" t="s">
        <v>1102</v>
      </c>
    </row>
    <row r="25" spans="1:15" ht="29.25" customHeight="1">
      <c r="A25" s="39">
        <v>1</v>
      </c>
      <c r="B25" s="15">
        <v>8198</v>
      </c>
      <c r="C25" s="20" t="s">
        <v>1103</v>
      </c>
      <c r="D25" s="21" t="s">
        <v>1104</v>
      </c>
      <c r="E25" s="22" t="s">
        <v>33</v>
      </c>
      <c r="F25" s="63" t="s">
        <v>34</v>
      </c>
      <c r="G25" s="24" t="s">
        <v>1105</v>
      </c>
      <c r="H25" s="63" t="s">
        <v>1106</v>
      </c>
      <c r="I25" s="49" t="s">
        <v>49</v>
      </c>
      <c r="J25" s="50" t="s">
        <v>28</v>
      </c>
      <c r="K25" s="23">
        <v>2019</v>
      </c>
      <c r="L25" s="72"/>
      <c r="M25" s="69" t="s">
        <v>1107</v>
      </c>
      <c r="N25" s="51"/>
      <c r="O25" s="51" t="s">
        <v>1108</v>
      </c>
    </row>
    <row r="26" spans="1:15" ht="29.25" customHeight="1">
      <c r="A26" s="39">
        <v>19</v>
      </c>
      <c r="B26" s="15">
        <v>8199</v>
      </c>
      <c r="C26" s="20" t="s">
        <v>1109</v>
      </c>
      <c r="D26" s="21" t="s">
        <v>1110</v>
      </c>
      <c r="E26" s="23" t="s">
        <v>33</v>
      </c>
      <c r="F26" s="23" t="s">
        <v>34</v>
      </c>
      <c r="G26" s="24" t="s">
        <v>1111</v>
      </c>
      <c r="H26" s="23" t="s">
        <v>1112</v>
      </c>
      <c r="I26" s="49" t="s">
        <v>489</v>
      </c>
      <c r="J26" s="50" t="s">
        <v>28</v>
      </c>
      <c r="K26" s="23">
        <v>2019</v>
      </c>
      <c r="L26" s="71"/>
      <c r="M26" s="55">
        <v>37</v>
      </c>
      <c r="N26" s="51"/>
      <c r="O26" s="23" t="s">
        <v>1113</v>
      </c>
    </row>
    <row r="27" spans="1:15" ht="29.25" customHeight="1">
      <c r="A27" s="39">
        <v>20</v>
      </c>
      <c r="B27" s="15">
        <v>8200</v>
      </c>
      <c r="C27" s="20" t="s">
        <v>1114</v>
      </c>
      <c r="D27" s="21" t="s">
        <v>1115</v>
      </c>
      <c r="E27" s="23" t="s">
        <v>23</v>
      </c>
      <c r="F27" s="23" t="s">
        <v>24</v>
      </c>
      <c r="G27" s="24" t="s">
        <v>1116</v>
      </c>
      <c r="H27" s="23" t="s">
        <v>1117</v>
      </c>
      <c r="I27" s="70" t="s">
        <v>84</v>
      </c>
      <c r="J27" s="50" t="s">
        <v>28</v>
      </c>
      <c r="K27" s="23">
        <v>2019</v>
      </c>
      <c r="L27" s="23"/>
      <c r="M27" s="23">
        <v>8</v>
      </c>
      <c r="O27" s="23" t="s">
        <v>1118</v>
      </c>
    </row>
    <row r="28" spans="1:15" ht="29.25" customHeight="1">
      <c r="A28" s="39">
        <v>22</v>
      </c>
      <c r="B28" s="37"/>
      <c r="C28" s="20"/>
      <c r="D28" s="21"/>
      <c r="E28" s="22"/>
      <c r="F28" s="63"/>
      <c r="G28" s="24"/>
      <c r="H28" s="67"/>
      <c r="I28" s="49"/>
      <c r="J28" s="50"/>
      <c r="K28" s="23"/>
      <c r="L28" s="68"/>
      <c r="M28" s="55"/>
      <c r="N28" s="51"/>
      <c r="O28" s="51"/>
    </row>
    <row r="29" spans="1:15" ht="29.25" customHeight="1">
      <c r="A29" s="39">
        <v>23</v>
      </c>
      <c r="B29" s="37"/>
      <c r="C29" s="20"/>
      <c r="D29" s="21"/>
      <c r="E29" s="22"/>
      <c r="F29" s="63"/>
      <c r="G29" s="24"/>
      <c r="H29" s="67"/>
      <c r="I29" s="49"/>
      <c r="J29" s="50"/>
      <c r="K29" s="23"/>
      <c r="L29" s="68"/>
      <c r="M29" s="55"/>
      <c r="N29" s="51"/>
      <c r="O29" s="51"/>
    </row>
    <row r="30" spans="1:15" ht="29.25" customHeight="1">
      <c r="A30" s="39">
        <v>24</v>
      </c>
      <c r="B30" s="37"/>
      <c r="C30" s="20"/>
      <c r="D30" s="21"/>
      <c r="E30" s="24"/>
      <c r="F30" s="63"/>
      <c r="G30" s="24"/>
      <c r="H30" s="67"/>
      <c r="I30" s="49"/>
      <c r="J30" s="50"/>
      <c r="K30" s="23"/>
      <c r="L30" s="68"/>
      <c r="M30" s="55"/>
      <c r="N30" s="51"/>
      <c r="O30" s="51"/>
    </row>
    <row r="31" spans="1:15" ht="29.25" customHeight="1">
      <c r="A31" s="39">
        <v>26</v>
      </c>
      <c r="B31" s="37"/>
      <c r="C31" s="20"/>
      <c r="D31" s="21"/>
      <c r="E31" s="22"/>
      <c r="F31" s="63"/>
      <c r="G31" s="24"/>
      <c r="H31" s="67"/>
      <c r="I31" s="49"/>
      <c r="J31" s="50"/>
      <c r="K31" s="23"/>
      <c r="L31" s="68"/>
      <c r="M31" s="55"/>
      <c r="N31" s="51"/>
      <c r="O31" s="52"/>
    </row>
    <row r="32" spans="1:15" ht="29.25" customHeight="1">
      <c r="A32" s="39">
        <v>39</v>
      </c>
      <c r="B32" s="37"/>
      <c r="C32" s="20"/>
      <c r="D32" s="21"/>
      <c r="E32" s="22"/>
      <c r="F32" s="23"/>
      <c r="G32" s="24"/>
      <c r="H32" s="67"/>
      <c r="I32" s="59"/>
      <c r="J32" s="50"/>
      <c r="K32" s="23"/>
      <c r="L32" s="68"/>
      <c r="M32" s="23"/>
      <c r="N32" s="51"/>
      <c r="O32" s="51"/>
    </row>
    <row r="33" spans="1:18" ht="24" customHeight="1">
      <c r="A33" s="40" t="s">
        <v>173</v>
      </c>
      <c r="B33" s="3"/>
      <c r="C33" s="3"/>
      <c r="D33" s="3"/>
      <c r="E33" s="3"/>
      <c r="F33" s="3"/>
      <c r="G33" s="3"/>
      <c r="I33" s="60" t="s">
        <v>174</v>
      </c>
      <c r="J33" s="60"/>
      <c r="K33" s="60"/>
      <c r="L33" s="60"/>
      <c r="M33" s="3"/>
      <c r="N33">
        <f>COUNTIF(E5:E32,"ស្រី")</f>
        <v>15</v>
      </c>
    </row>
    <row r="34" spans="1:18" ht="24" customHeight="1">
      <c r="A34" s="3"/>
      <c r="B34" s="3"/>
      <c r="C34" s="3"/>
      <c r="D34" s="3"/>
      <c r="E34" s="3"/>
      <c r="F34" s="40"/>
      <c r="G34" s="40"/>
      <c r="H34" s="40"/>
      <c r="I34" s="140" t="s">
        <v>175</v>
      </c>
      <c r="J34" s="140"/>
      <c r="K34" s="140"/>
      <c r="L34" s="140"/>
      <c r="M34" s="61"/>
    </row>
    <row r="35" spans="1:18" ht="24" customHeight="1">
      <c r="A35" s="41"/>
      <c r="B35" s="41"/>
      <c r="C35" s="141" t="s">
        <v>176</v>
      </c>
      <c r="D35" s="141"/>
      <c r="E35" s="141"/>
      <c r="F35" s="141"/>
      <c r="G35" s="43"/>
      <c r="H35" s="43"/>
      <c r="I35" s="141" t="s">
        <v>177</v>
      </c>
      <c r="J35" s="141"/>
      <c r="K35" s="141"/>
      <c r="L35" s="141"/>
      <c r="M35" s="42"/>
      <c r="N35" s="62"/>
    </row>
    <row r="36" spans="1:18" ht="24" customHeight="1">
      <c r="A36" s="41"/>
      <c r="B36" s="41"/>
      <c r="C36" s="139" t="s">
        <v>178</v>
      </c>
      <c r="D36" s="139"/>
      <c r="E36" s="139"/>
      <c r="F36" s="139"/>
      <c r="G36" s="3"/>
      <c r="H36" s="3"/>
      <c r="I36" s="3"/>
      <c r="J36" s="3"/>
      <c r="K36" s="3"/>
      <c r="L36" s="3"/>
      <c r="M36" s="3"/>
    </row>
    <row r="37" spans="1:18" ht="24" customHeight="1">
      <c r="A37" s="41"/>
      <c r="B37" s="41"/>
      <c r="C37" s="141" t="s">
        <v>179</v>
      </c>
      <c r="D37" s="141"/>
      <c r="E37" s="141"/>
      <c r="F37" s="141"/>
      <c r="G37" s="3"/>
      <c r="H37" s="3"/>
      <c r="I37" s="3"/>
      <c r="J37" s="3"/>
      <c r="K37" s="3"/>
      <c r="L37" s="3"/>
      <c r="M37" s="3"/>
    </row>
    <row r="38" spans="1:18" ht="24" customHeight="1"/>
    <row r="39" spans="1:18" ht="24" customHeight="1">
      <c r="C39" t="s">
        <v>254</v>
      </c>
      <c r="D39">
        <f>COUNTA(C7:C27)</f>
        <v>21</v>
      </c>
    </row>
    <row r="40" spans="1:18" ht="24" customHeight="1">
      <c r="C40" t="s">
        <v>255</v>
      </c>
      <c r="D40">
        <f>COUNTIF(E7:E27,E25)</f>
        <v>15</v>
      </c>
    </row>
    <row r="41" spans="1:18" ht="24" customHeight="1"/>
    <row r="42" spans="1:18" ht="24" customHeight="1"/>
    <row r="43" spans="1:18" ht="24" customHeight="1"/>
    <row r="44" spans="1:18" ht="24" customHeight="1"/>
    <row r="45" spans="1:18" s="3" customFormat="1" ht="24">
      <c r="A45"/>
      <c r="B45"/>
      <c r="C45"/>
      <c r="D45"/>
      <c r="E45" s="4"/>
      <c r="F45"/>
      <c r="G45" s="4"/>
      <c r="H45"/>
      <c r="I45"/>
      <c r="J45"/>
      <c r="K45"/>
      <c r="L45"/>
      <c r="M45"/>
    </row>
    <row r="46" spans="1:18" s="3" customFormat="1" ht="24">
      <c r="A46"/>
      <c r="B46"/>
      <c r="C46"/>
      <c r="D46"/>
      <c r="E46" s="4"/>
      <c r="F46"/>
      <c r="G46" s="4"/>
      <c r="H46"/>
      <c r="I46"/>
      <c r="J46"/>
      <c r="K46"/>
      <c r="L46"/>
      <c r="M46"/>
      <c r="O46" s="40">
        <f>COUNTIF(E7:E19,"ស្រី")</f>
        <v>8</v>
      </c>
      <c r="P46" s="40"/>
      <c r="Q46" s="40"/>
      <c r="R46" s="40"/>
    </row>
    <row r="47" spans="1:18" s="3" customFormat="1" ht="24">
      <c r="A47"/>
      <c r="B47"/>
      <c r="C47"/>
      <c r="D47"/>
      <c r="E47" s="4"/>
      <c r="F47"/>
      <c r="G47" s="4"/>
      <c r="H47"/>
      <c r="I47"/>
      <c r="J47"/>
      <c r="K47"/>
      <c r="L47"/>
      <c r="M47"/>
      <c r="O47" s="40"/>
      <c r="P47" s="139"/>
      <c r="Q47" s="139"/>
      <c r="R47" s="139"/>
    </row>
    <row r="48" spans="1:18" s="3" customFormat="1" ht="24">
      <c r="A48"/>
      <c r="B48"/>
      <c r="C48"/>
      <c r="D48"/>
      <c r="E48" s="4"/>
      <c r="F48"/>
      <c r="G48" s="4"/>
      <c r="H48"/>
      <c r="I48"/>
      <c r="J48"/>
      <c r="K48"/>
      <c r="L48"/>
      <c r="M48"/>
      <c r="P48" s="139"/>
      <c r="Q48" s="139"/>
      <c r="R48" s="139"/>
    </row>
    <row r="49" spans="1:18" s="3" customFormat="1" ht="24">
      <c r="A49"/>
      <c r="B49"/>
      <c r="C49"/>
      <c r="D49"/>
      <c r="E49" s="4"/>
      <c r="F49"/>
      <c r="G49" s="4"/>
      <c r="H49"/>
      <c r="I49"/>
      <c r="J49"/>
      <c r="K49"/>
      <c r="L49"/>
      <c r="M49"/>
      <c r="P49" s="139"/>
      <c r="Q49" s="139"/>
      <c r="R49" s="139"/>
    </row>
  </sheetData>
  <mergeCells count="13">
    <mergeCell ref="I1:N1"/>
    <mergeCell ref="I2:N2"/>
    <mergeCell ref="I3:N3"/>
    <mergeCell ref="A4:L4"/>
    <mergeCell ref="A5:L5"/>
    <mergeCell ref="P47:R47"/>
    <mergeCell ref="P48:R48"/>
    <mergeCell ref="P49:R49"/>
    <mergeCell ref="I34:L34"/>
    <mergeCell ref="C35:F35"/>
    <mergeCell ref="I35:L35"/>
    <mergeCell ref="C36:F36"/>
    <mergeCell ref="C37:F37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baseColWidth="10" defaultColWidth="8.6640625" defaultRowHeight="1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11"/>
  </sheetPr>
  <dimension ref="A1:R33"/>
  <sheetViews>
    <sheetView topLeftCell="A14" zoomScale="85" zoomScaleNormal="85" workbookViewId="0">
      <selection activeCell="B7" sqref="B7:B21"/>
    </sheetView>
  </sheetViews>
  <sheetFormatPr baseColWidth="10" defaultColWidth="8.6640625" defaultRowHeight="24" customHeight="1"/>
  <cols>
    <col min="1" max="1" width="5" customWidth="1"/>
    <col min="2" max="2" width="6.6640625" customWidth="1"/>
    <col min="3" max="3" width="17.33203125" customWidth="1"/>
    <col min="4" max="4" width="20.6640625" customWidth="1"/>
    <col min="5" max="5" width="6.5" style="4" customWidth="1"/>
    <col min="6" max="6" width="9.5" customWidth="1"/>
    <col min="7" max="7" width="19.33203125" style="4" customWidth="1"/>
    <col min="8" max="8" width="23.5" customWidth="1"/>
    <col min="9" max="9" width="20.33203125" customWidth="1"/>
    <col min="10" max="10" width="12.5" customWidth="1"/>
    <col min="12" max="13" width="9" customWidth="1"/>
    <col min="15" max="15" width="25.5" customWidth="1"/>
  </cols>
  <sheetData>
    <row r="1" spans="1:15" s="1" customFormat="1" ht="25.5" customHeight="1">
      <c r="A1" s="5"/>
      <c r="B1" s="5"/>
      <c r="C1" s="5"/>
      <c r="D1" s="5"/>
      <c r="E1" s="5"/>
      <c r="F1" s="5"/>
      <c r="G1" s="6"/>
      <c r="H1" s="6"/>
      <c r="I1" s="142" t="s">
        <v>0</v>
      </c>
      <c r="J1" s="142"/>
      <c r="K1" s="142"/>
      <c r="L1" s="142"/>
      <c r="M1" s="142"/>
      <c r="N1" s="142"/>
    </row>
    <row r="2" spans="1:15" s="1" customFormat="1" ht="25.5" customHeight="1">
      <c r="A2" s="7" t="s">
        <v>1</v>
      </c>
      <c r="B2" s="8"/>
      <c r="C2" s="5"/>
      <c r="D2" s="5"/>
      <c r="E2" s="5"/>
      <c r="F2" s="5"/>
      <c r="G2" s="6"/>
      <c r="H2" s="6"/>
      <c r="I2" s="142" t="s">
        <v>2</v>
      </c>
      <c r="J2" s="142"/>
      <c r="K2" s="142"/>
      <c r="L2" s="142"/>
      <c r="M2" s="142"/>
      <c r="N2" s="142"/>
    </row>
    <row r="3" spans="1:15" s="1" customFormat="1" ht="26">
      <c r="A3" s="7" t="s">
        <v>3</v>
      </c>
      <c r="B3" s="8"/>
      <c r="C3" s="5"/>
      <c r="D3" s="5"/>
      <c r="E3" s="5"/>
      <c r="F3" s="5"/>
      <c r="G3" s="9"/>
      <c r="H3" s="9"/>
      <c r="I3" s="143">
        <v>323</v>
      </c>
      <c r="J3" s="143"/>
      <c r="K3" s="143"/>
      <c r="L3" s="143"/>
      <c r="M3" s="143"/>
      <c r="N3" s="143"/>
    </row>
    <row r="4" spans="1:15" s="1" customFormat="1" ht="29">
      <c r="A4" s="144" t="s">
        <v>1119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0"/>
    </row>
    <row r="5" spans="1:15" s="1" customFormat="1" ht="29.25" customHeight="1">
      <c r="A5" s="145" t="s">
        <v>1120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1"/>
    </row>
    <row r="6" spans="1:15" ht="80">
      <c r="A6" s="12" t="s">
        <v>6</v>
      </c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3" t="s">
        <v>13</v>
      </c>
      <c r="I6" s="12" t="s">
        <v>14</v>
      </c>
      <c r="J6" s="12" t="s">
        <v>15</v>
      </c>
      <c r="K6" s="44" t="s">
        <v>16</v>
      </c>
      <c r="L6" s="44" t="s">
        <v>17</v>
      </c>
      <c r="M6" s="44" t="s">
        <v>18</v>
      </c>
      <c r="N6" s="12" t="s">
        <v>19</v>
      </c>
      <c r="O6" s="12" t="s">
        <v>20</v>
      </c>
    </row>
    <row r="7" spans="1:15" s="1" customFormat="1" ht="29.25" customHeight="1">
      <c r="A7" s="14">
        <v>1</v>
      </c>
      <c r="B7" s="15">
        <v>8201</v>
      </c>
      <c r="C7" s="16" t="s">
        <v>1121</v>
      </c>
      <c r="D7" s="17" t="s">
        <v>1122</v>
      </c>
      <c r="E7" s="18" t="s">
        <v>33</v>
      </c>
      <c r="F7" s="14" t="s">
        <v>34</v>
      </c>
      <c r="G7" s="19" t="s">
        <v>1123</v>
      </c>
      <c r="H7" s="14" t="s">
        <v>1124</v>
      </c>
      <c r="I7" s="45" t="s">
        <v>463</v>
      </c>
      <c r="J7" s="19" t="s">
        <v>148</v>
      </c>
      <c r="K7" s="14">
        <v>2019</v>
      </c>
      <c r="L7" s="14"/>
      <c r="M7" s="46">
        <v>3</v>
      </c>
      <c r="N7" s="47"/>
      <c r="O7" s="48" t="s">
        <v>1125</v>
      </c>
    </row>
    <row r="8" spans="1:15" s="1" customFormat="1" ht="29.25" customHeight="1">
      <c r="A8" s="14">
        <v>13</v>
      </c>
      <c r="B8" s="15">
        <v>8202</v>
      </c>
      <c r="C8" s="20" t="s">
        <v>1126</v>
      </c>
      <c r="D8" s="21" t="s">
        <v>1127</v>
      </c>
      <c r="E8" s="22" t="s">
        <v>33</v>
      </c>
      <c r="F8" s="23" t="s">
        <v>34</v>
      </c>
      <c r="G8" s="24" t="s">
        <v>1128</v>
      </c>
      <c r="H8" s="25" t="s">
        <v>585</v>
      </c>
      <c r="I8" s="49" t="s">
        <v>90</v>
      </c>
      <c r="J8" s="50" t="s">
        <v>28</v>
      </c>
      <c r="K8" s="23">
        <v>2019</v>
      </c>
      <c r="L8" s="23"/>
      <c r="M8" s="23">
        <v>25</v>
      </c>
      <c r="N8" s="51"/>
      <c r="O8" s="52" t="s">
        <v>1129</v>
      </c>
    </row>
    <row r="9" spans="1:15" s="1" customFormat="1" ht="29.25" customHeight="1">
      <c r="A9" s="14">
        <v>7</v>
      </c>
      <c r="B9" s="15">
        <v>8203</v>
      </c>
      <c r="C9" s="16" t="s">
        <v>1130</v>
      </c>
      <c r="D9" s="17" t="s">
        <v>1131</v>
      </c>
      <c r="E9" s="19" t="s">
        <v>33</v>
      </c>
      <c r="F9" s="14" t="s">
        <v>34</v>
      </c>
      <c r="G9" s="26" t="s">
        <v>1132</v>
      </c>
      <c r="H9" s="14" t="s">
        <v>1133</v>
      </c>
      <c r="I9" s="45" t="s">
        <v>84</v>
      </c>
      <c r="J9" s="19" t="s">
        <v>28</v>
      </c>
      <c r="K9" s="14">
        <v>2019</v>
      </c>
      <c r="L9" s="14"/>
      <c r="M9" s="14">
        <v>12</v>
      </c>
      <c r="N9" s="47"/>
      <c r="O9" s="53" t="s">
        <v>1134</v>
      </c>
    </row>
    <row r="10" spans="1:15" s="1" customFormat="1" ht="29.25" customHeight="1">
      <c r="A10" s="14">
        <v>4</v>
      </c>
      <c r="B10" s="15">
        <v>8204</v>
      </c>
      <c r="C10" s="16" t="s">
        <v>1135</v>
      </c>
      <c r="D10" s="17" t="s">
        <v>1136</v>
      </c>
      <c r="E10" s="19" t="s">
        <v>23</v>
      </c>
      <c r="F10" s="14" t="s">
        <v>24</v>
      </c>
      <c r="G10" s="19" t="s">
        <v>1137</v>
      </c>
      <c r="H10" s="14" t="s">
        <v>1138</v>
      </c>
      <c r="I10" s="45" t="s">
        <v>309</v>
      </c>
      <c r="J10" s="19" t="s">
        <v>28</v>
      </c>
      <c r="K10" s="14">
        <v>2019</v>
      </c>
      <c r="L10" s="14"/>
      <c r="M10" s="14">
        <v>10</v>
      </c>
      <c r="N10" s="47"/>
      <c r="O10" s="48" t="s">
        <v>1139</v>
      </c>
    </row>
    <row r="11" spans="1:15" s="1" customFormat="1" ht="29.25" customHeight="1">
      <c r="A11" s="14">
        <v>9</v>
      </c>
      <c r="B11" s="15">
        <v>8205</v>
      </c>
      <c r="C11" s="20" t="s">
        <v>1140</v>
      </c>
      <c r="D11" s="21" t="s">
        <v>1141</v>
      </c>
      <c r="E11" s="22" t="s">
        <v>33</v>
      </c>
      <c r="F11" s="23" t="s">
        <v>34</v>
      </c>
      <c r="G11" s="24" t="s">
        <v>1142</v>
      </c>
      <c r="H11" s="27" t="s">
        <v>1143</v>
      </c>
      <c r="I11" s="49" t="s">
        <v>90</v>
      </c>
      <c r="J11" s="50" t="s">
        <v>28</v>
      </c>
      <c r="K11" s="23">
        <v>2019</v>
      </c>
      <c r="L11" s="23"/>
      <c r="M11" s="23">
        <v>20</v>
      </c>
      <c r="N11" s="51"/>
      <c r="O11" s="23" t="s">
        <v>1144</v>
      </c>
    </row>
    <row r="12" spans="1:15" s="1" customFormat="1" ht="29.25" customHeight="1">
      <c r="A12" s="14">
        <v>5</v>
      </c>
      <c r="B12" s="15">
        <v>8206</v>
      </c>
      <c r="C12" s="16" t="s">
        <v>1145</v>
      </c>
      <c r="D12" s="17" t="s">
        <v>1146</v>
      </c>
      <c r="E12" s="18" t="s">
        <v>33</v>
      </c>
      <c r="F12" s="14" t="s">
        <v>34</v>
      </c>
      <c r="G12" s="19" t="s">
        <v>1147</v>
      </c>
      <c r="H12" s="14" t="s">
        <v>1148</v>
      </c>
      <c r="I12" s="45" t="s">
        <v>90</v>
      </c>
      <c r="J12" s="19" t="s">
        <v>28</v>
      </c>
      <c r="K12" s="14">
        <v>2019</v>
      </c>
      <c r="L12" s="14"/>
      <c r="M12" s="14">
        <v>15</v>
      </c>
      <c r="N12" s="47"/>
      <c r="O12" s="48" t="s">
        <v>1149</v>
      </c>
    </row>
    <row r="13" spans="1:15" s="1" customFormat="1" ht="29.25" customHeight="1">
      <c r="A13" s="14">
        <v>11</v>
      </c>
      <c r="B13" s="15">
        <v>8207</v>
      </c>
      <c r="C13" s="20" t="s">
        <v>1150</v>
      </c>
      <c r="D13" s="28" t="s">
        <v>1151</v>
      </c>
      <c r="E13" s="24" t="s">
        <v>33</v>
      </c>
      <c r="F13" s="22" t="s">
        <v>34</v>
      </c>
      <c r="G13" s="24" t="s">
        <v>1152</v>
      </c>
      <c r="H13" s="29">
        <v>38017</v>
      </c>
      <c r="I13" s="49" t="s">
        <v>90</v>
      </c>
      <c r="J13" s="50" t="s">
        <v>28</v>
      </c>
      <c r="K13" s="23">
        <v>2019</v>
      </c>
      <c r="L13" s="54"/>
      <c r="M13" s="55">
        <v>13</v>
      </c>
      <c r="N13" s="51"/>
      <c r="O13" s="52" t="s">
        <v>1153</v>
      </c>
    </row>
    <row r="14" spans="1:15" s="1" customFormat="1" ht="29.25" customHeight="1">
      <c r="A14" s="14">
        <v>8</v>
      </c>
      <c r="B14" s="15">
        <v>8208</v>
      </c>
      <c r="C14" s="16" t="s">
        <v>1154</v>
      </c>
      <c r="D14" s="17" t="s">
        <v>1155</v>
      </c>
      <c r="E14" s="18" t="s">
        <v>33</v>
      </c>
      <c r="F14" s="14" t="s">
        <v>34</v>
      </c>
      <c r="G14" s="26" t="s">
        <v>1156</v>
      </c>
      <c r="H14" s="14" t="s">
        <v>1157</v>
      </c>
      <c r="I14" s="56" t="s">
        <v>84</v>
      </c>
      <c r="J14" s="19" t="s">
        <v>28</v>
      </c>
      <c r="K14" s="14">
        <v>2019</v>
      </c>
      <c r="L14" s="14"/>
      <c r="M14" s="14">
        <v>27</v>
      </c>
      <c r="N14" s="47"/>
      <c r="O14" s="48" t="s">
        <v>1158</v>
      </c>
    </row>
    <row r="15" spans="1:15" ht="29.25" customHeight="1">
      <c r="A15" s="14">
        <v>14</v>
      </c>
      <c r="B15" s="15">
        <v>8209</v>
      </c>
      <c r="C15" s="20" t="s">
        <v>1159</v>
      </c>
      <c r="D15" s="21" t="s">
        <v>1160</v>
      </c>
      <c r="E15" s="22" t="s">
        <v>33</v>
      </c>
      <c r="F15" s="23" t="s">
        <v>34</v>
      </c>
      <c r="G15" s="24" t="s">
        <v>1161</v>
      </c>
      <c r="H15" s="25" t="s">
        <v>1162</v>
      </c>
      <c r="I15" s="49" t="s">
        <v>259</v>
      </c>
      <c r="J15" s="50" t="s">
        <v>28</v>
      </c>
      <c r="K15" s="23">
        <v>2019</v>
      </c>
      <c r="L15" s="23"/>
      <c r="M15" s="23">
        <v>7</v>
      </c>
      <c r="N15" s="51"/>
      <c r="O15" s="52" t="s">
        <v>1163</v>
      </c>
    </row>
    <row r="16" spans="1:15" ht="29.25" customHeight="1">
      <c r="A16" s="14">
        <v>6</v>
      </c>
      <c r="B16" s="15">
        <v>8210</v>
      </c>
      <c r="C16" s="16" t="s">
        <v>1164</v>
      </c>
      <c r="D16" s="17" t="s">
        <v>1165</v>
      </c>
      <c r="E16" s="18" t="s">
        <v>33</v>
      </c>
      <c r="F16" s="14" t="s">
        <v>34</v>
      </c>
      <c r="G16" s="19" t="s">
        <v>1166</v>
      </c>
      <c r="H16" s="14" t="s">
        <v>1167</v>
      </c>
      <c r="I16" s="56" t="s">
        <v>84</v>
      </c>
      <c r="J16" s="19" t="s">
        <v>28</v>
      </c>
      <c r="K16" s="14">
        <v>2019</v>
      </c>
      <c r="L16" s="14"/>
      <c r="M16" s="14">
        <v>19</v>
      </c>
      <c r="N16" s="47"/>
      <c r="O16" s="53" t="s">
        <v>1168</v>
      </c>
    </row>
    <row r="17" spans="1:18" ht="29.25" customHeight="1">
      <c r="A17" s="14">
        <v>3</v>
      </c>
      <c r="B17" s="15">
        <v>8211</v>
      </c>
      <c r="C17" s="16" t="s">
        <v>1169</v>
      </c>
      <c r="D17" s="17" t="s">
        <v>1170</v>
      </c>
      <c r="E17" s="19" t="s">
        <v>33</v>
      </c>
      <c r="F17" s="14" t="s">
        <v>34</v>
      </c>
      <c r="G17" s="19" t="s">
        <v>1171</v>
      </c>
      <c r="H17" s="14" t="s">
        <v>1172</v>
      </c>
      <c r="I17" s="45" t="s">
        <v>309</v>
      </c>
      <c r="J17" s="19" t="s">
        <v>62</v>
      </c>
      <c r="K17" s="14">
        <v>2019</v>
      </c>
      <c r="L17" s="25"/>
      <c r="M17" s="14">
        <v>2</v>
      </c>
      <c r="N17" s="47"/>
      <c r="O17" s="48" t="s">
        <v>1173</v>
      </c>
    </row>
    <row r="18" spans="1:18" ht="29.25" customHeight="1">
      <c r="A18" s="14">
        <v>2</v>
      </c>
      <c r="B18" s="15">
        <v>8212</v>
      </c>
      <c r="C18" s="16" t="s">
        <v>1174</v>
      </c>
      <c r="D18" s="17" t="s">
        <v>1175</v>
      </c>
      <c r="E18" s="18" t="s">
        <v>33</v>
      </c>
      <c r="F18" s="14" t="s">
        <v>34</v>
      </c>
      <c r="G18" s="19" t="s">
        <v>616</v>
      </c>
      <c r="H18" s="14" t="s">
        <v>617</v>
      </c>
      <c r="I18" s="56" t="s">
        <v>133</v>
      </c>
      <c r="J18" s="19" t="s">
        <v>28</v>
      </c>
      <c r="K18" s="14">
        <v>2019</v>
      </c>
      <c r="L18" s="14"/>
      <c r="M18" s="46">
        <v>1</v>
      </c>
      <c r="N18" s="47"/>
      <c r="O18" s="48" t="s">
        <v>1176</v>
      </c>
    </row>
    <row r="19" spans="1:18" ht="29.25" customHeight="1">
      <c r="A19" s="14">
        <v>12</v>
      </c>
      <c r="B19" s="15">
        <v>8213</v>
      </c>
      <c r="C19" s="20" t="s">
        <v>1177</v>
      </c>
      <c r="D19" s="21" t="s">
        <v>1178</v>
      </c>
      <c r="E19" s="22" t="s">
        <v>33</v>
      </c>
      <c r="F19" s="23" t="s">
        <v>34</v>
      </c>
      <c r="G19" s="24" t="s">
        <v>1179</v>
      </c>
      <c r="H19" s="14" t="s">
        <v>1180</v>
      </c>
      <c r="I19" s="49" t="s">
        <v>90</v>
      </c>
      <c r="J19" s="50" t="s">
        <v>28</v>
      </c>
      <c r="K19" s="23">
        <v>2019</v>
      </c>
      <c r="L19" s="23"/>
      <c r="M19" s="23">
        <v>21</v>
      </c>
      <c r="N19" s="51"/>
      <c r="O19" s="52" t="s">
        <v>1181</v>
      </c>
    </row>
    <row r="20" spans="1:18" ht="29.25" customHeight="1">
      <c r="A20" s="14">
        <v>10</v>
      </c>
      <c r="B20" s="15">
        <v>8214</v>
      </c>
      <c r="C20" s="20" t="s">
        <v>1182</v>
      </c>
      <c r="D20" s="17" t="s">
        <v>1183</v>
      </c>
      <c r="E20" s="22" t="s">
        <v>33</v>
      </c>
      <c r="F20" s="23" t="s">
        <v>34</v>
      </c>
      <c r="G20" s="24" t="s">
        <v>1184</v>
      </c>
      <c r="H20" s="25" t="s">
        <v>1185</v>
      </c>
      <c r="I20" s="49" t="s">
        <v>90</v>
      </c>
      <c r="J20" s="50" t="s">
        <v>28</v>
      </c>
      <c r="K20" s="23">
        <v>2019</v>
      </c>
      <c r="L20" s="23"/>
      <c r="M20" s="23">
        <v>26</v>
      </c>
      <c r="N20" s="51"/>
      <c r="O20" s="52">
        <v>78915883</v>
      </c>
    </row>
    <row r="21" spans="1:18" s="2" customFormat="1" ht="29.25" customHeight="1">
      <c r="A21" s="30">
        <v>15</v>
      </c>
      <c r="B21" s="15">
        <v>8215</v>
      </c>
      <c r="C21" s="31" t="s">
        <v>1186</v>
      </c>
      <c r="D21" s="32" t="s">
        <v>1187</v>
      </c>
      <c r="E21" s="33" t="s">
        <v>33</v>
      </c>
      <c r="F21" s="34" t="s">
        <v>34</v>
      </c>
      <c r="G21" s="35" t="s">
        <v>1188</v>
      </c>
      <c r="H21" s="36" t="s">
        <v>1189</v>
      </c>
      <c r="I21" s="57" t="s">
        <v>90</v>
      </c>
      <c r="J21" s="58" t="s">
        <v>28</v>
      </c>
      <c r="K21" s="34">
        <v>2019</v>
      </c>
      <c r="L21" s="34"/>
      <c r="M21" s="34">
        <v>24</v>
      </c>
      <c r="N21" s="52"/>
      <c r="O21" s="52" t="s">
        <v>1190</v>
      </c>
      <c r="P21" s="2" t="s">
        <v>172</v>
      </c>
    </row>
    <row r="22" spans="1:18" ht="29.25" customHeight="1">
      <c r="A22" s="14">
        <v>16</v>
      </c>
      <c r="B22" s="37"/>
      <c r="C22" s="20"/>
      <c r="D22" s="21"/>
      <c r="E22" s="22"/>
      <c r="F22" s="23"/>
      <c r="G22" s="24"/>
      <c r="H22" s="38"/>
      <c r="I22" s="49"/>
      <c r="J22" s="50"/>
      <c r="K22" s="23"/>
      <c r="L22" s="23"/>
      <c r="M22" s="23"/>
      <c r="N22" s="51"/>
      <c r="O22" s="52"/>
    </row>
    <row r="23" spans="1:18" ht="29.25" customHeight="1">
      <c r="A23" s="39">
        <v>40</v>
      </c>
      <c r="B23" s="37"/>
      <c r="C23" s="20"/>
      <c r="D23" s="21"/>
      <c r="E23" s="22"/>
      <c r="F23" s="23"/>
      <c r="G23" s="24"/>
      <c r="H23" s="38"/>
      <c r="I23" s="59"/>
      <c r="J23" s="50"/>
      <c r="K23" s="23"/>
      <c r="L23" s="23"/>
      <c r="M23" s="23"/>
      <c r="N23" s="51"/>
      <c r="O23" s="52"/>
    </row>
    <row r="24" spans="1:18" ht="24" customHeight="1">
      <c r="A24" s="40" t="s">
        <v>173</v>
      </c>
      <c r="B24" s="3"/>
      <c r="C24" s="3"/>
      <c r="D24" s="3"/>
      <c r="E24" s="3"/>
      <c r="F24" s="3"/>
      <c r="G24" s="3"/>
      <c r="I24" s="60" t="s">
        <v>174</v>
      </c>
      <c r="J24" s="60"/>
      <c r="K24" s="60"/>
      <c r="L24" s="60"/>
      <c r="M24" s="3"/>
      <c r="N24">
        <f>COUNTIF(E5:E23,"ស្រី")</f>
        <v>14</v>
      </c>
    </row>
    <row r="25" spans="1:18" ht="24" customHeight="1">
      <c r="A25" s="3"/>
      <c r="B25" s="3"/>
      <c r="C25" s="3"/>
      <c r="D25" s="3"/>
      <c r="E25" s="3"/>
      <c r="F25" s="40"/>
      <c r="G25" s="40"/>
      <c r="H25" s="40"/>
      <c r="I25" s="140" t="s">
        <v>175</v>
      </c>
      <c r="J25" s="140"/>
      <c r="K25" s="140"/>
      <c r="L25" s="140"/>
      <c r="M25" s="61"/>
    </row>
    <row r="26" spans="1:18" ht="24" customHeight="1">
      <c r="A26" s="41"/>
      <c r="B26" s="41"/>
      <c r="C26" s="141" t="s">
        <v>176</v>
      </c>
      <c r="D26" s="141"/>
      <c r="E26" s="141"/>
      <c r="F26" s="141"/>
      <c r="G26" s="43"/>
      <c r="H26" s="43"/>
      <c r="I26" s="141" t="s">
        <v>177</v>
      </c>
      <c r="J26" s="141"/>
      <c r="K26" s="141"/>
      <c r="L26" s="141"/>
      <c r="M26" s="42"/>
      <c r="N26" s="62"/>
    </row>
    <row r="27" spans="1:18" ht="24" customHeight="1">
      <c r="A27" s="41"/>
      <c r="B27" s="41"/>
      <c r="C27" s="139" t="s">
        <v>178</v>
      </c>
      <c r="D27" s="139"/>
      <c r="E27" s="139"/>
      <c r="F27" s="139"/>
      <c r="G27" s="3"/>
      <c r="H27" s="3"/>
      <c r="I27" s="3"/>
      <c r="J27" s="3"/>
      <c r="K27" s="3"/>
      <c r="L27" s="3"/>
      <c r="M27" s="3"/>
    </row>
    <row r="28" spans="1:18" ht="24" customHeight="1">
      <c r="A28" s="41"/>
      <c r="B28" s="41"/>
      <c r="C28" s="141" t="s">
        <v>179</v>
      </c>
      <c r="D28" s="141"/>
      <c r="E28" s="141"/>
      <c r="F28" s="141"/>
      <c r="G28" s="3"/>
      <c r="H28" s="3"/>
      <c r="I28" s="3"/>
      <c r="J28" s="3"/>
      <c r="K28" s="3"/>
      <c r="L28" s="3"/>
      <c r="M28" s="3"/>
    </row>
    <row r="29" spans="1:18" s="3" customFormat="1">
      <c r="A29"/>
      <c r="B29"/>
      <c r="C29"/>
      <c r="D29"/>
      <c r="E29" s="4"/>
      <c r="F29"/>
      <c r="G29" s="4"/>
      <c r="H29"/>
      <c r="I29"/>
      <c r="J29"/>
      <c r="K29"/>
      <c r="L29"/>
      <c r="M29"/>
    </row>
    <row r="30" spans="1:18" s="3" customFormat="1">
      <c r="A30"/>
      <c r="B30"/>
      <c r="C30" t="s">
        <v>254</v>
      </c>
      <c r="D30">
        <f>COUNTA(C7:C20)</f>
        <v>14</v>
      </c>
      <c r="E30" s="4"/>
      <c r="F30"/>
      <c r="G30" s="4"/>
      <c r="H30"/>
      <c r="I30"/>
      <c r="J30"/>
      <c r="K30"/>
      <c r="L30"/>
      <c r="M30"/>
      <c r="O30" s="40">
        <f>COUNTIF(E7:E13,"ស្រី")</f>
        <v>6</v>
      </c>
      <c r="P30" s="40"/>
      <c r="Q30" s="40"/>
      <c r="R30" s="40"/>
    </row>
    <row r="31" spans="1:18" s="3" customFormat="1">
      <c r="A31"/>
      <c r="B31"/>
      <c r="C31" t="s">
        <v>255</v>
      </c>
      <c r="D31">
        <f>COUNTIF(E7:E20,E20)</f>
        <v>13</v>
      </c>
      <c r="E31" s="4"/>
      <c r="F31"/>
      <c r="G31" s="4"/>
      <c r="H31"/>
      <c r="I31"/>
      <c r="J31"/>
      <c r="K31"/>
      <c r="L31"/>
      <c r="M31"/>
      <c r="O31" s="40"/>
      <c r="P31" s="139"/>
      <c r="Q31" s="139"/>
      <c r="R31" s="139"/>
    </row>
    <row r="32" spans="1:18" s="3" customFormat="1">
      <c r="A32"/>
      <c r="B32"/>
      <c r="C32"/>
      <c r="D32"/>
      <c r="E32" s="4"/>
      <c r="F32"/>
      <c r="G32" s="4"/>
      <c r="H32"/>
      <c r="I32"/>
      <c r="J32"/>
      <c r="K32"/>
      <c r="L32"/>
      <c r="M32"/>
      <c r="P32" s="139"/>
      <c r="Q32" s="139"/>
      <c r="R32" s="139"/>
    </row>
    <row r="33" spans="1:18" s="3" customFormat="1">
      <c r="A33"/>
      <c r="B33"/>
      <c r="C33"/>
      <c r="D33"/>
      <c r="E33" s="4"/>
      <c r="F33"/>
      <c r="G33" s="4"/>
      <c r="H33"/>
      <c r="I33"/>
      <c r="J33"/>
      <c r="K33"/>
      <c r="L33"/>
      <c r="M33"/>
      <c r="P33" s="139"/>
      <c r="Q33" s="139"/>
      <c r="R33" s="139"/>
    </row>
  </sheetData>
  <mergeCells count="13">
    <mergeCell ref="I1:N1"/>
    <mergeCell ref="I2:N2"/>
    <mergeCell ref="I3:N3"/>
    <mergeCell ref="A4:L4"/>
    <mergeCell ref="A5:L5"/>
    <mergeCell ref="P31:R31"/>
    <mergeCell ref="P32:R32"/>
    <mergeCell ref="P33:R33"/>
    <mergeCell ref="I25:L25"/>
    <mergeCell ref="C26:F26"/>
    <mergeCell ref="I26:L26"/>
    <mergeCell ref="C27:F27"/>
    <mergeCell ref="C28:F28"/>
  </mergeCells>
  <printOptions horizontalCentered="1"/>
  <pageMargins left="0.45" right="0.35" top="0.19" bottom="0.21" header="0.17" footer="0.17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ACCT</vt:lpstr>
      <vt:lpstr>MKT</vt:lpstr>
      <vt:lpstr>Sheet2</vt:lpstr>
      <vt:lpstr>Sheet1</vt:lpstr>
      <vt:lpstr>Sheet7</vt:lpstr>
      <vt:lpstr>Sheet3</vt:lpstr>
      <vt:lpstr>Sheet4</vt:lpstr>
      <vt:lpstr>Sheet5</vt:lpstr>
      <vt:lpstr>HRM</vt:lpstr>
      <vt:lpstr>B&amp;F</vt:lpstr>
      <vt:lpstr>RD</vt:lpstr>
      <vt:lpstr>Math</vt:lpstr>
      <vt:lpstr>IT</vt:lpstr>
      <vt:lpstr>AGR</vt:lpstr>
      <vt:lpstr>KHM</vt:lpstr>
      <vt:lpstr>Sheet6</vt:lpstr>
      <vt:lpstr>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RAVY</dc:creator>
  <cp:lastModifiedBy>chan trea</cp:lastModifiedBy>
  <cp:lastPrinted>2025-01-10T05:02:25Z</cp:lastPrinted>
  <dcterms:created xsi:type="dcterms:W3CDTF">2006-01-04T03:01:00Z</dcterms:created>
  <dcterms:modified xsi:type="dcterms:W3CDTF">2025-11-29T12:00:35Z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B4544DBF514A49929659802988BC3BCB_13</vt:lpwstr>
  </property>
  <property fmtid="{D5CDD505-2E9C-101B-9397-08002B2CF9AE}" pid="3" name="KSOProductBuildVer">
    <vt:lpwstr>1033-12.2.0.13431</vt:lpwstr>
  </property>
</Properties>
</file>